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"/>
    </mc:Choice>
  </mc:AlternateContent>
  <bookViews>
    <workbookView xWindow="0" yWindow="0" windowWidth="19200" windowHeight="8355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232" i="160"/>
  <c r="B213" i="160"/>
  <c r="B194" i="160"/>
  <c r="B175" i="160"/>
  <c r="B156" i="160"/>
  <c r="B137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9" i="160" s="1"/>
  <c r="D158" i="160" s="1"/>
  <c r="D177" i="160" s="1"/>
  <c r="D196" i="160" s="1"/>
  <c r="D215" i="160" s="1"/>
  <c r="B18" i="154"/>
  <c r="B13" i="11" l="1"/>
</calcChain>
</file>

<file path=xl/sharedStrings.xml><?xml version="1.0" encoding="utf-8"?>
<sst xmlns="http://schemas.openxmlformats.org/spreadsheetml/2006/main" count="478" uniqueCount="111">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</sst>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32" t="s">
        <v>52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53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54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55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56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57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58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59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60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  <c r="DH2" s="132" t="s">
        <v>61</v>
      </c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62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4"/>
      <c r="EF2" s="132" t="s">
        <v>63</v>
      </c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4"/>
      <c r="ER2" s="132" t="s">
        <v>64</v>
      </c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4"/>
      <c r="FD2" s="132" t="s">
        <v>65</v>
      </c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4"/>
      <c r="FP2" s="132" t="s">
        <v>66</v>
      </c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67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4"/>
    </row>
    <row r="3" spans="1:195" ht="19.5" customHeight="1" x14ac:dyDescent="0.25">
      <c r="A3" s="92"/>
      <c r="B3" s="129" t="s">
        <v>21</v>
      </c>
      <c r="C3" s="16">
        <v>3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0"/>
      <c r="C4" s="22">
        <v>3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1" t="str">
        <f>Donnees!$C$21</f>
        <v>Lecture du cahier des charge / planification</v>
      </c>
      <c r="C5" s="103">
        <v>12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28"/>
      <c r="C6" s="104">
        <v>12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27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28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27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28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27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28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27" t="str">
        <f>Donnees!$C$25</f>
        <v>Menu-Highscores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28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27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28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27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28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27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28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27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28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27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28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27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28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27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28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27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28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27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28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27" t="str">
        <f>Donnees!$C$35</f>
        <v>Menu-Tests</v>
      </c>
      <c r="C33" s="103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28"/>
      <c r="C34" s="104">
        <v>0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00"/>
      <c r="EO34" s="101"/>
      <c r="EP34" s="99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27" t="str">
        <f>Donnees!$C$36</f>
        <v>Vaisseau-Tests</v>
      </c>
      <c r="C35" s="103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28"/>
      <c r="C36" s="104">
        <v>0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01"/>
      <c r="EM36" s="99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27" t="str">
        <f>Donnees!$C$37</f>
        <v>Ennemi-Tests</v>
      </c>
      <c r="C37" s="103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93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28"/>
      <c r="C38" s="104">
        <v>0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98"/>
      <c r="EG38" s="99"/>
      <c r="EH38" s="100"/>
      <c r="EI38" s="101"/>
      <c r="EJ38" s="99"/>
      <c r="EK38" s="100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27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28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27" t="str">
        <f>Donnees!$C$39</f>
        <v>Installateur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28"/>
      <c r="C42" s="104">
        <v>0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27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28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27" t="str">
        <f>Donnees!$C$41</f>
        <v>Documentation-UML</v>
      </c>
      <c r="C45" s="103">
        <v>0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96"/>
      <c r="EA45" s="94"/>
      <c r="EB45" s="95"/>
      <c r="EC45" s="96"/>
      <c r="ED45" s="94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28"/>
      <c r="C46" s="104">
        <v>0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00"/>
      <c r="EC46" s="101"/>
      <c r="ED46" s="99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27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28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27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28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27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28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120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120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EF2:EQ2"/>
    <mergeCell ref="ER2:FC2"/>
    <mergeCell ref="FD2:FO2"/>
    <mergeCell ref="FP2:GA2"/>
    <mergeCell ref="GB2:GM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9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34"/>
  <sheetViews>
    <sheetView workbookViewId="0">
      <selection activeCell="B114" sqref="B11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/>
      <c r="B122" s="4"/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1"/>
      <c r="B134" s="51"/>
      <c r="C134" s="52"/>
      <c r="D134" s="52"/>
    </row>
    <row r="135" spans="1:4" x14ac:dyDescent="0.25">
      <c r="A135" s="51"/>
      <c r="B135" s="51"/>
      <c r="C135" s="52"/>
      <c r="D135" s="52"/>
    </row>
    <row r="136" spans="1:4" ht="14.25" thickBot="1" x14ac:dyDescent="0.3">
      <c r="A136" s="3"/>
      <c r="B136" s="3"/>
      <c r="C136" s="11"/>
      <c r="D136" s="11"/>
    </row>
    <row r="137" spans="1:4" ht="14.25" thickBot="1" x14ac:dyDescent="0.3">
      <c r="A137" s="48" t="s">
        <v>22</v>
      </c>
      <c r="B137" s="48">
        <f>SUM(B122:B136)</f>
        <v>0</v>
      </c>
      <c r="C137" s="112" t="s">
        <v>50</v>
      </c>
      <c r="D137" s="49"/>
    </row>
    <row r="138" spans="1:4" ht="15" thickBot="1" x14ac:dyDescent="0.35">
      <c r="A138" s="50"/>
      <c r="B138" s="50"/>
      <c r="C138" s="50"/>
      <c r="D138" s="50"/>
    </row>
    <row r="139" spans="1:4" ht="18.75" thickBot="1" x14ac:dyDescent="0.3">
      <c r="A139" s="43" t="s">
        <v>14</v>
      </c>
      <c r="B139" s="44">
        <v>12</v>
      </c>
      <c r="C139" s="45" t="s">
        <v>23</v>
      </c>
      <c r="D139" s="54">
        <f>$D$120+7</f>
        <v>44526</v>
      </c>
    </row>
    <row r="140" spans="1:4" ht="27.75" thickBot="1" x14ac:dyDescent="0.3">
      <c r="A140" s="46" t="s">
        <v>3</v>
      </c>
      <c r="B140" s="47" t="s">
        <v>15</v>
      </c>
      <c r="C140" s="46" t="s">
        <v>7</v>
      </c>
      <c r="D140" s="46" t="s">
        <v>13</v>
      </c>
    </row>
    <row r="141" spans="1:4" x14ac:dyDescent="0.25">
      <c r="A141" s="5"/>
      <c r="B141" s="4"/>
      <c r="C141" s="9"/>
      <c r="D141" s="9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2"/>
      <c r="B152" s="2"/>
      <c r="C152" s="10"/>
      <c r="D152" s="10"/>
    </row>
    <row r="153" spans="1:4" x14ac:dyDescent="0.25">
      <c r="A153" s="51"/>
      <c r="B153" s="51"/>
      <c r="C153" s="52"/>
      <c r="D153" s="52"/>
    </row>
    <row r="154" spans="1:4" x14ac:dyDescent="0.25">
      <c r="A154" s="51"/>
      <c r="B154" s="51"/>
      <c r="C154" s="52"/>
      <c r="D154" s="52"/>
    </row>
    <row r="155" spans="1:4" ht="14.25" thickBot="1" x14ac:dyDescent="0.3">
      <c r="A155" s="3"/>
      <c r="B155" s="3"/>
      <c r="C155" s="11"/>
      <c r="D155" s="11"/>
    </row>
    <row r="156" spans="1:4" ht="14.25" thickBot="1" x14ac:dyDescent="0.3">
      <c r="A156" s="48" t="s">
        <v>22</v>
      </c>
      <c r="B156" s="48">
        <f>SUM(B141:B155)</f>
        <v>0</v>
      </c>
      <c r="C156" s="112" t="s">
        <v>50</v>
      </c>
      <c r="D156" s="49"/>
    </row>
    <row r="157" spans="1:4" ht="15" thickBot="1" x14ac:dyDescent="0.35">
      <c r="A157" s="50"/>
      <c r="B157" s="50"/>
      <c r="C157" s="50"/>
      <c r="D157" s="50"/>
    </row>
    <row r="158" spans="1:4" ht="18.75" thickBot="1" x14ac:dyDescent="0.3">
      <c r="A158" s="43" t="s">
        <v>14</v>
      </c>
      <c r="B158" s="44">
        <v>13</v>
      </c>
      <c r="C158" s="45" t="s">
        <v>23</v>
      </c>
      <c r="D158" s="54">
        <f>$D$139+7</f>
        <v>44533</v>
      </c>
    </row>
    <row r="159" spans="1:4" ht="27.75" thickBot="1" x14ac:dyDescent="0.3">
      <c r="A159" s="46" t="s">
        <v>3</v>
      </c>
      <c r="B159" s="47" t="s">
        <v>15</v>
      </c>
      <c r="C159" s="46" t="s">
        <v>7</v>
      </c>
      <c r="D159" s="46" t="s">
        <v>13</v>
      </c>
    </row>
    <row r="160" spans="1:4" x14ac:dyDescent="0.25">
      <c r="A160" s="5"/>
      <c r="B160" s="4"/>
      <c r="C160" s="9"/>
      <c r="D160" s="9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2"/>
      <c r="B170" s="2"/>
      <c r="C170" s="10"/>
      <c r="D170" s="10"/>
    </row>
    <row r="171" spans="1:4" x14ac:dyDescent="0.25">
      <c r="A171" s="2"/>
      <c r="B171" s="2"/>
      <c r="C171" s="10"/>
      <c r="D171" s="10"/>
    </row>
    <row r="172" spans="1:4" x14ac:dyDescent="0.25">
      <c r="A172" s="51"/>
      <c r="B172" s="51"/>
      <c r="C172" s="52"/>
      <c r="D172" s="52"/>
    </row>
    <row r="173" spans="1:4" x14ac:dyDescent="0.25">
      <c r="A173" s="51"/>
      <c r="B173" s="51"/>
      <c r="C173" s="52"/>
      <c r="D173" s="52"/>
    </row>
    <row r="174" spans="1:4" ht="14.25" thickBot="1" x14ac:dyDescent="0.3">
      <c r="A174" s="3"/>
      <c r="B174" s="3"/>
      <c r="C174" s="11"/>
      <c r="D174" s="11"/>
    </row>
    <row r="175" spans="1:4" ht="14.25" thickBot="1" x14ac:dyDescent="0.3">
      <c r="A175" s="48" t="s">
        <v>22</v>
      </c>
      <c r="B175" s="48">
        <f>SUM(B160:B174)</f>
        <v>0</v>
      </c>
      <c r="C175" s="112" t="s">
        <v>50</v>
      </c>
      <c r="D175" s="49"/>
    </row>
    <row r="176" spans="1:4" ht="15" thickBot="1" x14ac:dyDescent="0.35">
      <c r="A176" s="50"/>
      <c r="B176" s="50"/>
      <c r="C176" s="50"/>
      <c r="D176" s="50"/>
    </row>
    <row r="177" spans="1:4" ht="18.75" thickBot="1" x14ac:dyDescent="0.3">
      <c r="A177" s="43" t="s">
        <v>14</v>
      </c>
      <c r="B177" s="44">
        <v>14</v>
      </c>
      <c r="C177" s="45" t="s">
        <v>23</v>
      </c>
      <c r="D177" s="54">
        <f>$D$158+7</f>
        <v>44540</v>
      </c>
    </row>
    <row r="178" spans="1:4" ht="27.75" thickBot="1" x14ac:dyDescent="0.3">
      <c r="A178" s="46" t="s">
        <v>3</v>
      </c>
      <c r="B178" s="47" t="s">
        <v>15</v>
      </c>
      <c r="C178" s="46" t="s">
        <v>7</v>
      </c>
      <c r="D178" s="46" t="s">
        <v>13</v>
      </c>
    </row>
    <row r="179" spans="1:4" x14ac:dyDescent="0.25">
      <c r="A179" s="5"/>
      <c r="B179" s="4"/>
      <c r="C179" s="9"/>
      <c r="D179" s="9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2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51"/>
      <c r="B191" s="51"/>
      <c r="C191" s="52"/>
      <c r="D191" s="52"/>
    </row>
    <row r="192" spans="1:4" x14ac:dyDescent="0.25">
      <c r="A192" s="51"/>
      <c r="B192" s="51"/>
      <c r="C192" s="52"/>
      <c r="D192" s="52"/>
    </row>
    <row r="193" spans="1:4" ht="14.25" thickBot="1" x14ac:dyDescent="0.3">
      <c r="A193" s="3"/>
      <c r="B193" s="3"/>
      <c r="C193" s="11"/>
      <c r="D193" s="11"/>
    </row>
    <row r="194" spans="1:4" ht="14.25" thickBot="1" x14ac:dyDescent="0.3">
      <c r="A194" s="48" t="s">
        <v>22</v>
      </c>
      <c r="B194" s="48">
        <f>SUM(B179:B193)</f>
        <v>0</v>
      </c>
      <c r="C194" s="112" t="s">
        <v>50</v>
      </c>
      <c r="D194" s="49"/>
    </row>
    <row r="195" spans="1:4" ht="15" thickBot="1" x14ac:dyDescent="0.35">
      <c r="A195" s="50"/>
      <c r="B195" s="50"/>
      <c r="C195" s="50"/>
      <c r="D195" s="50"/>
    </row>
    <row r="196" spans="1:4" ht="18.75" thickBot="1" x14ac:dyDescent="0.3">
      <c r="A196" s="43" t="s">
        <v>14</v>
      </c>
      <c r="B196" s="44">
        <v>15</v>
      </c>
      <c r="C196" s="45" t="s">
        <v>23</v>
      </c>
      <c r="D196" s="54">
        <f>$D$177+7</f>
        <v>44547</v>
      </c>
    </row>
    <row r="197" spans="1:4" ht="27.75" thickBot="1" x14ac:dyDescent="0.3">
      <c r="A197" s="46" t="s">
        <v>3</v>
      </c>
      <c r="B197" s="47" t="s">
        <v>15</v>
      </c>
      <c r="C197" s="46" t="s">
        <v>7</v>
      </c>
      <c r="D197" s="46" t="s">
        <v>13</v>
      </c>
    </row>
    <row r="198" spans="1:4" x14ac:dyDescent="0.25">
      <c r="A198" s="5"/>
      <c r="B198" s="4"/>
      <c r="C198" s="9"/>
      <c r="D198" s="9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1"/>
      <c r="B205" s="2"/>
      <c r="C205" s="10"/>
      <c r="D205" s="10"/>
    </row>
    <row r="206" spans="1:4" x14ac:dyDescent="0.25">
      <c r="A206" s="1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x14ac:dyDescent="0.25">
      <c r="A208" s="2"/>
      <c r="B208" s="2"/>
      <c r="C208" s="10"/>
      <c r="D208" s="10"/>
    </row>
    <row r="209" spans="1:4" x14ac:dyDescent="0.25">
      <c r="A209" s="2"/>
      <c r="B209" s="2"/>
      <c r="C209" s="10"/>
      <c r="D209" s="10"/>
    </row>
    <row r="210" spans="1:4" x14ac:dyDescent="0.25">
      <c r="A210" s="51"/>
      <c r="B210" s="51"/>
      <c r="C210" s="52"/>
      <c r="D210" s="52"/>
    </row>
    <row r="211" spans="1:4" x14ac:dyDescent="0.25">
      <c r="A211" s="51"/>
      <c r="B211" s="51"/>
      <c r="C211" s="52"/>
      <c r="D211" s="52"/>
    </row>
    <row r="212" spans="1:4" ht="14.25" thickBot="1" x14ac:dyDescent="0.3">
      <c r="A212" s="3"/>
      <c r="B212" s="3"/>
      <c r="C212" s="11"/>
      <c r="D212" s="11"/>
    </row>
    <row r="213" spans="1:4" ht="14.25" thickBot="1" x14ac:dyDescent="0.3">
      <c r="A213" s="48" t="s">
        <v>22</v>
      </c>
      <c r="B213" s="48">
        <f>SUM(B198:B212)</f>
        <v>0</v>
      </c>
      <c r="C213" s="112" t="s">
        <v>50</v>
      </c>
      <c r="D213" s="49"/>
    </row>
    <row r="214" spans="1:4" ht="15" thickBot="1" x14ac:dyDescent="0.35">
      <c r="A214" s="50"/>
      <c r="B214" s="50"/>
      <c r="C214" s="50"/>
      <c r="D214" s="50"/>
    </row>
    <row r="215" spans="1:4" ht="18.75" thickBot="1" x14ac:dyDescent="0.3">
      <c r="A215" s="43" t="s">
        <v>14</v>
      </c>
      <c r="B215" s="44">
        <v>16</v>
      </c>
      <c r="C215" s="45" t="s">
        <v>23</v>
      </c>
      <c r="D215" s="54">
        <f>$D$196+7</f>
        <v>44554</v>
      </c>
    </row>
    <row r="216" spans="1:4" ht="27.75" thickBot="1" x14ac:dyDescent="0.3">
      <c r="A216" s="46" t="s">
        <v>3</v>
      </c>
      <c r="B216" s="47" t="s">
        <v>15</v>
      </c>
      <c r="C216" s="46" t="s">
        <v>7</v>
      </c>
      <c r="D216" s="46" t="s">
        <v>13</v>
      </c>
    </row>
    <row r="217" spans="1:4" x14ac:dyDescent="0.25">
      <c r="A217" s="5"/>
      <c r="B217" s="4"/>
      <c r="C217" s="9"/>
      <c r="D217" s="9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1"/>
      <c r="B221" s="2"/>
      <c r="C221" s="10"/>
      <c r="D221" s="10"/>
    </row>
    <row r="222" spans="1:4" x14ac:dyDescent="0.25">
      <c r="A222" s="1"/>
      <c r="B222" s="2"/>
      <c r="C222" s="10"/>
      <c r="D222" s="10"/>
    </row>
    <row r="223" spans="1:4" x14ac:dyDescent="0.25">
      <c r="A223" s="1"/>
      <c r="B223" s="2"/>
      <c r="C223" s="10"/>
      <c r="D223" s="10"/>
    </row>
    <row r="224" spans="1:4" x14ac:dyDescent="0.25">
      <c r="A224" s="1"/>
      <c r="B224" s="2"/>
      <c r="C224" s="10"/>
      <c r="D224" s="10"/>
    </row>
    <row r="225" spans="1:4" x14ac:dyDescent="0.25">
      <c r="A225" s="1"/>
      <c r="B225" s="2"/>
      <c r="C225" s="10"/>
      <c r="D225" s="10"/>
    </row>
    <row r="226" spans="1:4" x14ac:dyDescent="0.25">
      <c r="A226" s="2"/>
      <c r="B226" s="2"/>
      <c r="C226" s="10"/>
      <c r="D226" s="10"/>
    </row>
    <row r="227" spans="1:4" x14ac:dyDescent="0.25">
      <c r="A227" s="2"/>
      <c r="B227" s="2"/>
      <c r="C227" s="10"/>
      <c r="D227" s="10"/>
    </row>
    <row r="228" spans="1:4" x14ac:dyDescent="0.25">
      <c r="A228" s="2"/>
      <c r="B228" s="2"/>
      <c r="C228" s="10"/>
      <c r="D228" s="10"/>
    </row>
    <row r="229" spans="1:4" x14ac:dyDescent="0.25">
      <c r="A229" s="51"/>
      <c r="B229" s="51"/>
      <c r="C229" s="52"/>
      <c r="D229" s="52"/>
    </row>
    <row r="230" spans="1:4" x14ac:dyDescent="0.25">
      <c r="A230" s="51"/>
      <c r="B230" s="51"/>
      <c r="C230" s="52"/>
      <c r="D230" s="52"/>
    </row>
    <row r="231" spans="1:4" ht="14.25" thickBot="1" x14ac:dyDescent="0.3">
      <c r="A231" s="3"/>
      <c r="B231" s="3"/>
      <c r="C231" s="11"/>
      <c r="D231" s="11"/>
    </row>
    <row r="232" spans="1:4" ht="14.25" thickBot="1" x14ac:dyDescent="0.3">
      <c r="A232" s="48" t="s">
        <v>22</v>
      </c>
      <c r="B232" s="48">
        <f>SUM(B217:B231)</f>
        <v>0</v>
      </c>
      <c r="C232" s="112" t="s">
        <v>50</v>
      </c>
      <c r="D232" s="49"/>
    </row>
    <row r="233" spans="1:4" ht="14.25" x14ac:dyDescent="0.3">
      <c r="A233" s="50"/>
      <c r="B233" s="50"/>
      <c r="C233" s="50"/>
      <c r="D233" s="50"/>
    </row>
    <row r="234" spans="1:4" x14ac:dyDescent="0.25">
      <c r="A234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217:B231 B65:B71 B76:B83 B88:B94 B99:B105 B122:B136 B141:B155 B160:B174 B179:B193 B198:B212 B110:B1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37 B156 B175 B194 B213 B232">
      <formula1>0</formula1>
      <formula2>NbPerWeek * NbQuartPer</formula2>
    </dataValidation>
    <dataValidation type="list" allowBlank="1" showInputMessage="1" showErrorMessage="1" sqref="A3:A9 A14:A21 A26:A34 A39:A47 A52:A60 A65:A71 A217:A231 A76:A83 A88:A94 A99:A105 A122:A136 A141:A155 A160:A174 A179:A193 A198:A212 A110:A1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2021-11-12T10:16:18Z</dcterms:modified>
</cp:coreProperties>
</file>