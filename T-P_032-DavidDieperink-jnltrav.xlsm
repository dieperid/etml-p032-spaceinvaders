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CFC\2ème année\Projets\P-032_Dev\etml-p032-spaceinvaders\"/>
    </mc:Choice>
  </mc:AlternateContent>
  <bookViews>
    <workbookView xWindow="0" yWindow="0" windowWidth="19200" windowHeight="8355" activeTab="5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Diagramme!$B$3:$B$52</definedName>
    <definedName name="lstTasks">Donnees!$C$20:$C$45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60" l="1"/>
  <c r="D12" i="160" s="1"/>
  <c r="D24" i="160" s="1"/>
  <c r="D37" i="160" s="1"/>
  <c r="D50" i="160" s="1"/>
  <c r="D63" i="160" s="1"/>
  <c r="D74" i="160" s="1"/>
  <c r="B232" i="160"/>
  <c r="B213" i="160"/>
  <c r="B194" i="160"/>
  <c r="B175" i="160"/>
  <c r="B156" i="160"/>
  <c r="B137" i="160"/>
  <c r="B118" i="160"/>
  <c r="B106" i="160"/>
  <c r="B95" i="160"/>
  <c r="B84" i="160"/>
  <c r="B72" i="160"/>
  <c r="B61" i="160"/>
  <c r="B48" i="160"/>
  <c r="B35" i="160"/>
  <c r="B22" i="160"/>
  <c r="B10" i="160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B51" i="157"/>
  <c r="B49" i="157"/>
  <c r="B47" i="157"/>
  <c r="B45" i="157"/>
  <c r="B43" i="157"/>
  <c r="B41" i="157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54" i="157"/>
  <c r="C53" i="157"/>
  <c r="D86" i="160" l="1"/>
  <c r="D97" i="160" s="1"/>
  <c r="D108" i="160" s="1"/>
  <c r="D120" i="160" s="1"/>
  <c r="D139" i="160" s="1"/>
  <c r="D158" i="160" s="1"/>
  <c r="D177" i="160" s="1"/>
  <c r="D196" i="160" s="1"/>
  <c r="D215" i="160" s="1"/>
  <c r="B18" i="154"/>
  <c r="B13" i="11" l="1"/>
</calcChain>
</file>

<file path=xl/sharedStrings.xml><?xml version="1.0" encoding="utf-8"?>
<sst xmlns="http://schemas.openxmlformats.org/spreadsheetml/2006/main" count="484" uniqueCount="114">
  <si>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</si>
  <si>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</si>
  <si>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</si>
  <si>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</si>
  <si>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</si>
  <si>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</si>
  <si>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</si>
  <si>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</si>
  <si>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</si>
  <si>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</si>
  <si>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</si>
  <si>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</si>
  <si>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</si>
  <si>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</si>
  <si>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</si>
  <si>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</si>
  <si>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</si>
  <si>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</si>
  <si>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</si>
  <si>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</si>
  <si>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</si>
  <si>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</si>
  <si>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</si>
  <si>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</si>
  <si>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</si>
  <si>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</si>
  <si>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</si>
  <si>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</si>
  <si>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</si>
  <si>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</si>
  <si>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</si>
  <si>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</si>
  <si>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</si>
  <si>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</si>
  <si>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</si>
  <si>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</si>
  <si>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</si>
  <si>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</si>
  <si>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</si>
  <si>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</si>
  <si>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</si>
  <si>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</si>
  <si>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</si>
  <si>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</si>
  <si>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Installateur</t>
  </si>
  <si>
    <t>Béta tests</t>
  </si>
  <si>
    <t>Documentation-UML</t>
  </si>
  <si>
    <t>Documentation-Tests</t>
  </si>
  <si>
    <t>Documentation-Code</t>
  </si>
  <si>
    <t>Documentation-ModeEmploi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</si>
  <si>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</si>
  <si>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</si>
  <si>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</si>
  <si>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</si>
  <si>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</si>
  <si>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</si>
  <si>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</si>
  <si>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</si>
  <si>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</si>
  <si>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</si>
  <si>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</si>
  <si>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</si>
  <si>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</si>
  <si>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</si>
  <si>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</si>
  <si>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</si>
  <si>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</si>
  <si>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</si>
  <si>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David Dieperink</t>
  </si>
  <si>
    <t>CID2A</t>
  </si>
  <si>
    <t>Lecture du cahier des charges + récupérer et mettre en place les différentes choses utiles ( journal de travail, fichier, etc.. )</t>
  </si>
  <si>
    <t>Création du Menu et Design</t>
  </si>
  <si>
    <t>Design du Vaisseau principal</t>
  </si>
  <si>
    <t>Remplissage du journal de travail pour la semaine 1</t>
  </si>
  <si>
    <t>Modification du Menu et création des autres options</t>
  </si>
  <si>
    <t>Adaptation pour le menu options</t>
  </si>
  <si>
    <t>Remplissage du journal de travail pour la semaine 2</t>
  </si>
  <si>
    <t>Modification du menu de base + implémentation d'un tout nouveau menu</t>
  </si>
  <si>
    <t>Création du menu pour les options avec l'ajout du choix pour les son</t>
  </si>
  <si>
    <t>Finition du menu principal</t>
  </si>
  <si>
    <t>Finition du menu option</t>
  </si>
  <si>
    <t>Design du vaisseau fini</t>
  </si>
  <si>
    <t>Début de la création du mouvement du vaisseau</t>
  </si>
  <si>
    <t>Remplissage du journal de travail pour la semaine 2 et 3</t>
  </si>
  <si>
    <t>Création du mouvement pour le tir</t>
  </si>
  <si>
    <t>Adaptation pour le mouvement du vaisseau</t>
  </si>
  <si>
    <t>Création du menu pour l'interface du jeu</t>
  </si>
  <si>
    <t>Comprendre les mouvements des ennemis</t>
  </si>
  <si>
    <t>Remplissage du journal de travail pour la semaine 4</t>
  </si>
  <si>
    <t>Finition du mouvement du vaisseau à l'intérieur d'un tableau (case par case)</t>
  </si>
  <si>
    <t>Adaptation du design au tableau</t>
  </si>
  <si>
    <t>Adaptation des tirs avec le tableau</t>
  </si>
  <si>
    <t>Test de déplacement pour les ennemis</t>
  </si>
  <si>
    <t>Remplissage du journal de travail pour la semaine 5</t>
  </si>
  <si>
    <t>Changement complet du code, mise en place de list pour contenir les vaisseau et faire le déplacement en bloc</t>
  </si>
  <si>
    <t>Test de la hitbox des vaisseaux ennemi</t>
  </si>
  <si>
    <t>Remplissage du journal de travail pour la semaine 6</t>
  </si>
  <si>
    <t>Implémentation d'une nouvelle manière de tirer + fluide</t>
  </si>
  <si>
    <t>Réorganisation complète des class + commentaire</t>
  </si>
  <si>
    <t>Implémentation du score lors de la déstruction d'un ennemi</t>
  </si>
  <si>
    <t>Remplissage du journal de travail pour la semaine 7</t>
  </si>
  <si>
    <t>Réglage des problèmes de tir des vaisseaux ennemi, (si il y'avait un autre ennemi devant ils tiraient quand meme). Problème résolu</t>
  </si>
  <si>
    <t>Réglage d'un bug de déplacement (traversait le bord de la console)</t>
  </si>
  <si>
    <t>Remplissage du journal de travail pour la semaine 8</t>
  </si>
  <si>
    <t>Ajout de 3 vies au vaisseau, codage de la hitbox (si une balle ennemi touche le vaisseau). Une fois mort il repart à sa position de départ</t>
  </si>
  <si>
    <t>Création du menu Game Over</t>
  </si>
  <si>
    <t>Remplissage du journal de travail pour la semaine 9</t>
  </si>
  <si>
    <t>Ajout du tir sur les murs pour le vaisseau principal -&gt; si un mur touché il perd de la vie</t>
  </si>
  <si>
    <t>Ajout du tir sur les murs pour les invaders -&gt; si un mur touché il perd de la vie</t>
  </si>
  <si>
    <t>Ajout de la class Wall et de ses paramètres + les méthodes de génération, update et affichage</t>
  </si>
  <si>
    <t>Remplissage du journal de travail pour la semaine 10</t>
  </si>
  <si>
    <t>Création du menu Highscore et des paramètres pour récupérer le score etc</t>
  </si>
  <si>
    <t>Recherche pour la documentation UML - Diagramme de classe</t>
  </si>
  <si>
    <t>Remplissage du journal de travail pour la semaine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</si>
</sst>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="85" zoomScaleNormal="100" zoomScaleSheetLayoutView="85" workbookViewId="0">
      <selection activeCell="C12" sqref="C1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68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69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44554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5" t="s">
        <v>19</v>
      </c>
      <c r="C19" s="12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44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45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46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47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48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49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M54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95" ht="14.25" thickBot="1" x14ac:dyDescent="0.3">
      <c r="B1" s="91"/>
      <c r="C1" s="91"/>
    </row>
    <row r="2" spans="1:195" ht="42.75" customHeight="1" thickBot="1" x14ac:dyDescent="0.3">
      <c r="A2" s="92"/>
      <c r="B2" s="23" t="s">
        <v>5</v>
      </c>
      <c r="C2" s="15" t="s">
        <v>18</v>
      </c>
      <c r="D2" s="127" t="s">
        <v>52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9"/>
      <c r="P2" s="127" t="s">
        <v>53</v>
      </c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9"/>
      <c r="AB2" s="127" t="s">
        <v>54</v>
      </c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9"/>
      <c r="AN2" s="127" t="s">
        <v>55</v>
      </c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9"/>
      <c r="AZ2" s="127" t="s">
        <v>56</v>
      </c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9"/>
      <c r="BL2" s="127" t="s">
        <v>57</v>
      </c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9"/>
      <c r="BX2" s="127" t="s">
        <v>58</v>
      </c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9"/>
      <c r="CJ2" s="127" t="s">
        <v>59</v>
      </c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9"/>
      <c r="CV2" s="127" t="s">
        <v>60</v>
      </c>
      <c r="CW2" s="128"/>
      <c r="CX2" s="128"/>
      <c r="CY2" s="128"/>
      <c r="CZ2" s="128"/>
      <c r="DA2" s="128"/>
      <c r="DB2" s="128"/>
      <c r="DC2" s="128"/>
      <c r="DD2" s="128"/>
      <c r="DE2" s="128"/>
      <c r="DF2" s="128"/>
      <c r="DG2" s="129"/>
      <c r="DH2" s="127" t="s">
        <v>61</v>
      </c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9"/>
      <c r="DT2" s="127" t="s">
        <v>62</v>
      </c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9"/>
      <c r="EF2" s="127" t="s">
        <v>63</v>
      </c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9"/>
      <c r="ER2" s="127" t="s">
        <v>64</v>
      </c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9"/>
      <c r="FD2" s="127" t="s">
        <v>65</v>
      </c>
      <c r="FE2" s="128"/>
      <c r="FF2" s="128"/>
      <c r="FG2" s="128"/>
      <c r="FH2" s="128"/>
      <c r="FI2" s="128"/>
      <c r="FJ2" s="128"/>
      <c r="FK2" s="128"/>
      <c r="FL2" s="128"/>
      <c r="FM2" s="128"/>
      <c r="FN2" s="128"/>
      <c r="FO2" s="129"/>
      <c r="FP2" s="127" t="s">
        <v>66</v>
      </c>
      <c r="FQ2" s="128"/>
      <c r="FR2" s="128"/>
      <c r="FS2" s="128"/>
      <c r="FT2" s="128"/>
      <c r="FU2" s="128"/>
      <c r="FV2" s="128"/>
      <c r="FW2" s="128"/>
      <c r="FX2" s="128"/>
      <c r="FY2" s="128"/>
      <c r="FZ2" s="128"/>
      <c r="GA2" s="129"/>
      <c r="GB2" s="127" t="s">
        <v>67</v>
      </c>
      <c r="GC2" s="128"/>
      <c r="GD2" s="128"/>
      <c r="GE2" s="128"/>
      <c r="GF2" s="128"/>
      <c r="GG2" s="128"/>
      <c r="GH2" s="128"/>
      <c r="GI2" s="128"/>
      <c r="GJ2" s="128"/>
      <c r="GK2" s="128"/>
      <c r="GL2" s="128"/>
      <c r="GM2" s="129"/>
    </row>
    <row r="3" spans="1:195" ht="19.5" customHeight="1" x14ac:dyDescent="0.25">
      <c r="A3" s="92"/>
      <c r="B3" s="132" t="s">
        <v>21</v>
      </c>
      <c r="C3" s="16">
        <v>3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116"/>
      <c r="CC3" s="117"/>
      <c r="CD3" s="118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  <c r="FD3" s="93"/>
      <c r="FE3" s="94"/>
      <c r="FF3" s="95"/>
      <c r="FG3" s="96"/>
      <c r="FH3" s="94"/>
      <c r="FI3" s="95"/>
      <c r="FJ3" s="96"/>
      <c r="FK3" s="94"/>
      <c r="FL3" s="95"/>
      <c r="FM3" s="96"/>
      <c r="FN3" s="94"/>
      <c r="FO3" s="97"/>
      <c r="FP3" s="93"/>
      <c r="FQ3" s="94"/>
      <c r="FR3" s="95"/>
      <c r="FS3" s="96"/>
      <c r="FT3" s="94"/>
      <c r="FU3" s="95"/>
      <c r="FV3" s="96"/>
      <c r="FW3" s="94"/>
      <c r="FX3" s="95"/>
      <c r="FY3" s="96"/>
      <c r="FZ3" s="94"/>
      <c r="GA3" s="97"/>
      <c r="GB3" s="93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7"/>
    </row>
    <row r="4" spans="1:195" ht="19.5" customHeight="1" thickBot="1" x14ac:dyDescent="0.3">
      <c r="A4" s="92"/>
      <c r="B4" s="133"/>
      <c r="C4" s="22">
        <v>3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98"/>
      <c r="BY4" s="99"/>
      <c r="BZ4" s="100"/>
      <c r="CA4" s="101"/>
      <c r="CB4" s="121"/>
      <c r="CC4" s="122"/>
      <c r="CD4" s="123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  <c r="FD4" s="98"/>
      <c r="FE4" s="99"/>
      <c r="FF4" s="100"/>
      <c r="FG4" s="101"/>
      <c r="FH4" s="99"/>
      <c r="FI4" s="100"/>
      <c r="FJ4" s="101"/>
      <c r="FK4" s="99"/>
      <c r="FL4" s="100"/>
      <c r="FM4" s="101"/>
      <c r="FN4" s="99"/>
      <c r="FO4" s="102"/>
      <c r="FP4" s="98"/>
      <c r="FQ4" s="99"/>
      <c r="FR4" s="100"/>
      <c r="FS4" s="101"/>
      <c r="FT4" s="99"/>
      <c r="FU4" s="100"/>
      <c r="FV4" s="101"/>
      <c r="FW4" s="99"/>
      <c r="FX4" s="100"/>
      <c r="FY4" s="101"/>
      <c r="FZ4" s="99"/>
      <c r="GA4" s="102"/>
      <c r="GB4" s="98"/>
      <c r="GC4" s="99"/>
      <c r="GD4" s="100"/>
      <c r="GE4" s="101"/>
      <c r="GF4" s="99"/>
      <c r="GG4" s="100"/>
      <c r="GH4" s="101"/>
      <c r="GI4" s="99"/>
      <c r="GJ4" s="100"/>
      <c r="GK4" s="101"/>
      <c r="GL4" s="99"/>
      <c r="GM4" s="102"/>
    </row>
    <row r="5" spans="1:195" ht="19.5" customHeight="1" x14ac:dyDescent="0.25">
      <c r="B5" s="134" t="str">
        <f>Donnees!$C$21</f>
        <v>Lecture du cahier des charge / planification</v>
      </c>
      <c r="C5" s="103">
        <v>12</v>
      </c>
      <c r="D5" s="115"/>
      <c r="E5" s="116"/>
      <c r="F5" s="95"/>
      <c r="G5" s="96"/>
      <c r="H5" s="94"/>
      <c r="I5" s="95"/>
      <c r="J5" s="96"/>
      <c r="K5" s="94"/>
      <c r="L5" s="95"/>
      <c r="M5" s="96"/>
      <c r="N5" s="94"/>
      <c r="O5" s="97"/>
      <c r="P5" s="115"/>
      <c r="Q5" s="94"/>
      <c r="R5" s="95"/>
      <c r="S5" s="96"/>
      <c r="T5" s="94"/>
      <c r="U5" s="95"/>
      <c r="V5" s="96"/>
      <c r="W5" s="94"/>
      <c r="X5" s="95"/>
      <c r="Y5" s="96"/>
      <c r="Z5" s="94"/>
      <c r="AA5" s="119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119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119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119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119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119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119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119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119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  <c r="FD5" s="93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7"/>
      <c r="FP5" s="93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7"/>
      <c r="GB5" s="93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7"/>
    </row>
    <row r="6" spans="1:195" ht="19.5" customHeight="1" thickBot="1" x14ac:dyDescent="0.3">
      <c r="B6" s="131"/>
      <c r="C6" s="104">
        <v>12</v>
      </c>
      <c r="D6" s="120"/>
      <c r="E6" s="121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120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24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24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24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24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24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24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24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24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24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  <c r="FD6" s="98"/>
      <c r="FE6" s="99"/>
      <c r="FF6" s="100"/>
      <c r="FG6" s="101"/>
      <c r="FH6" s="99"/>
      <c r="FI6" s="100"/>
      <c r="FJ6" s="101"/>
      <c r="FK6" s="99"/>
      <c r="FL6" s="100"/>
      <c r="FM6" s="101"/>
      <c r="FN6" s="99"/>
      <c r="FO6" s="102"/>
      <c r="FP6" s="98"/>
      <c r="FQ6" s="99"/>
      <c r="FR6" s="100"/>
      <c r="FS6" s="101"/>
      <c r="FT6" s="99"/>
      <c r="FU6" s="100"/>
      <c r="FV6" s="101"/>
      <c r="FW6" s="99"/>
      <c r="FX6" s="100"/>
      <c r="FY6" s="101"/>
      <c r="FZ6" s="99"/>
      <c r="GA6" s="102"/>
      <c r="GB6" s="98"/>
      <c r="GC6" s="99"/>
      <c r="GD6" s="100"/>
      <c r="GE6" s="101"/>
      <c r="GF6" s="99"/>
      <c r="GG6" s="100"/>
      <c r="GH6" s="101"/>
      <c r="GI6" s="99"/>
      <c r="GJ6" s="100"/>
      <c r="GK6" s="101"/>
      <c r="GL6" s="99"/>
      <c r="GM6" s="102"/>
    </row>
    <row r="7" spans="1:195" ht="19.5" customHeight="1" x14ac:dyDescent="0.25">
      <c r="B7" s="130" t="str">
        <f>Donnees!$C$22</f>
        <v>Menu</v>
      </c>
      <c r="C7" s="103">
        <v>27</v>
      </c>
      <c r="D7" s="93"/>
      <c r="E7" s="94"/>
      <c r="F7" s="117"/>
      <c r="G7" s="118"/>
      <c r="H7" s="116"/>
      <c r="I7" s="117"/>
      <c r="J7" s="118"/>
      <c r="K7" s="116"/>
      <c r="L7" s="117"/>
      <c r="M7" s="96"/>
      <c r="N7" s="94"/>
      <c r="O7" s="97"/>
      <c r="P7" s="93"/>
      <c r="Q7" s="116"/>
      <c r="R7" s="117"/>
      <c r="S7" s="118"/>
      <c r="T7" s="116"/>
      <c r="U7" s="117"/>
      <c r="V7" s="118"/>
      <c r="W7" s="94"/>
      <c r="X7" s="95"/>
      <c r="Y7" s="96"/>
      <c r="Z7" s="94"/>
      <c r="AA7" s="97"/>
      <c r="AB7" s="115"/>
      <c r="AC7" s="116"/>
      <c r="AD7" s="117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116"/>
      <c r="AV7" s="117"/>
      <c r="AW7" s="118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117"/>
      <c r="DE7" s="118"/>
      <c r="DF7" s="116"/>
      <c r="DG7" s="97"/>
      <c r="DH7" s="93"/>
      <c r="DI7" s="94"/>
      <c r="DJ7" s="95"/>
      <c r="DK7" s="96"/>
      <c r="DL7" s="94"/>
      <c r="DM7" s="95"/>
      <c r="DN7" s="118"/>
      <c r="DO7" s="116"/>
      <c r="DP7" s="117"/>
      <c r="DQ7" s="118"/>
      <c r="DR7" s="116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  <c r="FD7" s="93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7"/>
      <c r="FP7" s="93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7"/>
      <c r="GB7" s="93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7"/>
    </row>
    <row r="8" spans="1:195" ht="19.5" customHeight="1" thickBot="1" x14ac:dyDescent="0.3">
      <c r="B8" s="131"/>
      <c r="C8" s="104">
        <v>28</v>
      </c>
      <c r="D8" s="98"/>
      <c r="E8" s="99"/>
      <c r="F8" s="122"/>
      <c r="G8" s="123"/>
      <c r="H8" s="121"/>
      <c r="I8" s="122"/>
      <c r="J8" s="123"/>
      <c r="K8" s="121"/>
      <c r="L8" s="122"/>
      <c r="M8" s="101"/>
      <c r="N8" s="99"/>
      <c r="O8" s="102"/>
      <c r="P8" s="98"/>
      <c r="Q8" s="121"/>
      <c r="R8" s="122"/>
      <c r="S8" s="123"/>
      <c r="T8" s="121"/>
      <c r="U8" s="122"/>
      <c r="V8" s="123"/>
      <c r="W8" s="121"/>
      <c r="X8" s="100"/>
      <c r="Y8" s="101"/>
      <c r="Z8" s="99"/>
      <c r="AA8" s="102"/>
      <c r="AB8" s="120"/>
      <c r="AC8" s="121"/>
      <c r="AD8" s="122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121"/>
      <c r="AV8" s="122"/>
      <c r="AW8" s="123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22"/>
      <c r="DE8" s="123"/>
      <c r="DF8" s="121"/>
      <c r="DG8" s="102"/>
      <c r="DH8" s="98"/>
      <c r="DI8" s="99"/>
      <c r="DJ8" s="100"/>
      <c r="DK8" s="101"/>
      <c r="DL8" s="99"/>
      <c r="DM8" s="100"/>
      <c r="DN8" s="123"/>
      <c r="DO8" s="121"/>
      <c r="DP8" s="122"/>
      <c r="DQ8" s="123"/>
      <c r="DR8" s="121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  <c r="FD8" s="98"/>
      <c r="FE8" s="99"/>
      <c r="FF8" s="100"/>
      <c r="FG8" s="101"/>
      <c r="FH8" s="99"/>
      <c r="FI8" s="100"/>
      <c r="FJ8" s="101"/>
      <c r="FK8" s="99"/>
      <c r="FL8" s="100"/>
      <c r="FM8" s="101"/>
      <c r="FN8" s="99"/>
      <c r="FO8" s="102"/>
      <c r="FP8" s="98"/>
      <c r="FQ8" s="99"/>
      <c r="FR8" s="100"/>
      <c r="FS8" s="101"/>
      <c r="FT8" s="99"/>
      <c r="FU8" s="100"/>
      <c r="FV8" s="101"/>
      <c r="FW8" s="99"/>
      <c r="FX8" s="100"/>
      <c r="FY8" s="101"/>
      <c r="FZ8" s="99"/>
      <c r="GA8" s="102"/>
      <c r="GB8" s="98"/>
      <c r="GC8" s="99"/>
      <c r="GD8" s="100"/>
      <c r="GE8" s="101"/>
      <c r="GF8" s="99"/>
      <c r="GG8" s="100"/>
      <c r="GH8" s="101"/>
      <c r="GI8" s="99"/>
      <c r="GJ8" s="100"/>
      <c r="GK8" s="101"/>
      <c r="GL8" s="99"/>
      <c r="GM8" s="102"/>
    </row>
    <row r="9" spans="1:195" ht="19.5" customHeight="1" x14ac:dyDescent="0.25">
      <c r="B9" s="130" t="str">
        <f>Donnees!$C$23</f>
        <v>Menu-Global</v>
      </c>
      <c r="C9" s="103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  <c r="FD9" s="93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7"/>
      <c r="FP9" s="93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7"/>
      <c r="GB9" s="93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7"/>
    </row>
    <row r="10" spans="1:195" ht="19.5" customHeight="1" thickBot="1" x14ac:dyDescent="0.3">
      <c r="B10" s="131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  <c r="FD10" s="98"/>
      <c r="FE10" s="99"/>
      <c r="FF10" s="100"/>
      <c r="FG10" s="101"/>
      <c r="FH10" s="99"/>
      <c r="FI10" s="100"/>
      <c r="FJ10" s="101"/>
      <c r="FK10" s="99"/>
      <c r="FL10" s="100"/>
      <c r="FM10" s="101"/>
      <c r="FN10" s="99"/>
      <c r="FO10" s="102"/>
      <c r="FP10" s="98"/>
      <c r="FQ10" s="99"/>
      <c r="FR10" s="100"/>
      <c r="FS10" s="101"/>
      <c r="FT10" s="99"/>
      <c r="FU10" s="100"/>
      <c r="FV10" s="101"/>
      <c r="FW10" s="99"/>
      <c r="FX10" s="100"/>
      <c r="FY10" s="101"/>
      <c r="FZ10" s="99"/>
      <c r="GA10" s="102"/>
      <c r="GB10" s="98"/>
      <c r="GC10" s="99"/>
      <c r="GD10" s="100"/>
      <c r="GE10" s="101"/>
      <c r="GF10" s="99"/>
      <c r="GG10" s="100"/>
      <c r="GH10" s="101"/>
      <c r="GI10" s="99"/>
      <c r="GJ10" s="100"/>
      <c r="GK10" s="101"/>
      <c r="GL10" s="99"/>
      <c r="GM10" s="102"/>
    </row>
    <row r="11" spans="1:195" ht="19.5" customHeight="1" x14ac:dyDescent="0.25">
      <c r="B11" s="130" t="str">
        <f>Donnees!$C$24</f>
        <v>Menu-Options</v>
      </c>
      <c r="C11" s="103">
        <v>7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116"/>
      <c r="X11" s="117"/>
      <c r="Y11" s="118"/>
      <c r="Z11" s="116"/>
      <c r="AA11" s="97"/>
      <c r="AB11" s="93"/>
      <c r="AC11" s="94"/>
      <c r="AD11" s="95"/>
      <c r="AE11" s="118"/>
      <c r="AF11" s="116"/>
      <c r="AG11" s="117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  <c r="FD11" s="93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7"/>
      <c r="FP11" s="93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7"/>
      <c r="GB11" s="93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7"/>
    </row>
    <row r="12" spans="1:195" ht="19.5" customHeight="1" thickBot="1" x14ac:dyDescent="0.3">
      <c r="B12" s="131"/>
      <c r="C12" s="104">
        <v>6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22"/>
      <c r="Y12" s="123"/>
      <c r="Z12" s="121"/>
      <c r="AA12" s="102"/>
      <c r="AB12" s="98"/>
      <c r="AC12" s="99"/>
      <c r="AD12" s="100"/>
      <c r="AE12" s="123"/>
      <c r="AF12" s="121"/>
      <c r="AG12" s="122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  <c r="FD12" s="98"/>
      <c r="FE12" s="99"/>
      <c r="FF12" s="100"/>
      <c r="FG12" s="101"/>
      <c r="FH12" s="99"/>
      <c r="FI12" s="100"/>
      <c r="FJ12" s="101"/>
      <c r="FK12" s="99"/>
      <c r="FL12" s="100"/>
      <c r="FM12" s="101"/>
      <c r="FN12" s="99"/>
      <c r="FO12" s="102"/>
      <c r="FP12" s="98"/>
      <c r="FQ12" s="99"/>
      <c r="FR12" s="100"/>
      <c r="FS12" s="101"/>
      <c r="FT12" s="99"/>
      <c r="FU12" s="100"/>
      <c r="FV12" s="101"/>
      <c r="FW12" s="99"/>
      <c r="FX12" s="100"/>
      <c r="FY12" s="101"/>
      <c r="FZ12" s="99"/>
      <c r="GA12" s="102"/>
      <c r="GB12" s="98"/>
      <c r="GC12" s="99"/>
      <c r="GD12" s="100"/>
      <c r="GE12" s="101"/>
      <c r="GF12" s="99"/>
      <c r="GG12" s="100"/>
      <c r="GH12" s="101"/>
      <c r="GI12" s="99"/>
      <c r="GJ12" s="100"/>
      <c r="GK12" s="101"/>
      <c r="GL12" s="99"/>
      <c r="GM12" s="102"/>
    </row>
    <row r="13" spans="1:195" ht="19.5" customHeight="1" x14ac:dyDescent="0.25">
      <c r="B13" s="130" t="str">
        <f>Donnees!$C$25</f>
        <v>Menu-Highscores</v>
      </c>
      <c r="C13" s="103">
        <v>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  <c r="FD13" s="93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7"/>
      <c r="FP13" s="93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7"/>
      <c r="GB13" s="93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7"/>
    </row>
    <row r="14" spans="1:195" ht="19.5" customHeight="1" thickBot="1" x14ac:dyDescent="0.3">
      <c r="B14" s="131"/>
      <c r="C14" s="104">
        <v>0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  <c r="FD14" s="98"/>
      <c r="FE14" s="99"/>
      <c r="FF14" s="100"/>
      <c r="FG14" s="101"/>
      <c r="FH14" s="99"/>
      <c r="FI14" s="100"/>
      <c r="FJ14" s="101"/>
      <c r="FK14" s="99"/>
      <c r="FL14" s="100"/>
      <c r="FM14" s="101"/>
      <c r="FN14" s="99"/>
      <c r="FO14" s="102"/>
      <c r="FP14" s="98"/>
      <c r="FQ14" s="99"/>
      <c r="FR14" s="100"/>
      <c r="FS14" s="101"/>
      <c r="FT14" s="99"/>
      <c r="FU14" s="100"/>
      <c r="FV14" s="101"/>
      <c r="FW14" s="99"/>
      <c r="FX14" s="100"/>
      <c r="FY14" s="101"/>
      <c r="FZ14" s="99"/>
      <c r="GA14" s="102"/>
      <c r="GB14" s="98"/>
      <c r="GC14" s="99"/>
      <c r="GD14" s="100"/>
      <c r="GE14" s="101"/>
      <c r="GF14" s="99"/>
      <c r="GG14" s="100"/>
      <c r="GH14" s="101"/>
      <c r="GI14" s="99"/>
      <c r="GJ14" s="100"/>
      <c r="GK14" s="101"/>
      <c r="GL14" s="99"/>
      <c r="GM14" s="102"/>
    </row>
    <row r="15" spans="1:195" ht="19.5" customHeight="1" x14ac:dyDescent="0.25">
      <c r="B15" s="130" t="str">
        <f>Donnees!$C$26</f>
        <v>Vaisseau-Mouvements</v>
      </c>
      <c r="C15" s="103">
        <v>12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116"/>
      <c r="AJ15" s="117"/>
      <c r="AK15" s="118"/>
      <c r="AL15" s="116"/>
      <c r="AM15" s="97"/>
      <c r="AN15" s="93"/>
      <c r="AO15" s="94"/>
      <c r="AP15" s="95"/>
      <c r="AQ15" s="96"/>
      <c r="AR15" s="116"/>
      <c r="AS15" s="117"/>
      <c r="AT15" s="118"/>
      <c r="AU15" s="94"/>
      <c r="AV15" s="95"/>
      <c r="AW15" s="96"/>
      <c r="AX15" s="94"/>
      <c r="AY15" s="97"/>
      <c r="AZ15" s="115"/>
      <c r="BA15" s="116"/>
      <c r="BB15" s="117"/>
      <c r="BC15" s="118"/>
      <c r="BD15" s="116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  <c r="FD15" s="93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7"/>
      <c r="FP15" s="93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7"/>
      <c r="GB15" s="93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7"/>
    </row>
    <row r="16" spans="1:195" ht="19.5" customHeight="1" thickBot="1" x14ac:dyDescent="0.3">
      <c r="A16" s="105"/>
      <c r="B16" s="131"/>
      <c r="C16" s="104">
        <v>12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121"/>
      <c r="AJ16" s="122"/>
      <c r="AK16" s="123"/>
      <c r="AL16" s="121"/>
      <c r="AM16" s="102"/>
      <c r="AN16" s="98"/>
      <c r="AO16" s="99"/>
      <c r="AP16" s="100"/>
      <c r="AQ16" s="101"/>
      <c r="AR16" s="121"/>
      <c r="AS16" s="122"/>
      <c r="AT16" s="123"/>
      <c r="AU16" s="99"/>
      <c r="AV16" s="100"/>
      <c r="AW16" s="101"/>
      <c r="AX16" s="99"/>
      <c r="AY16" s="102"/>
      <c r="AZ16" s="120"/>
      <c r="BA16" s="121"/>
      <c r="BB16" s="122"/>
      <c r="BC16" s="123"/>
      <c r="BD16" s="121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  <c r="FD16" s="98"/>
      <c r="FE16" s="99"/>
      <c r="FF16" s="100"/>
      <c r="FG16" s="101"/>
      <c r="FH16" s="99"/>
      <c r="FI16" s="100"/>
      <c r="FJ16" s="101"/>
      <c r="FK16" s="99"/>
      <c r="FL16" s="100"/>
      <c r="FM16" s="101"/>
      <c r="FN16" s="99"/>
      <c r="FO16" s="102"/>
      <c r="FP16" s="98"/>
      <c r="FQ16" s="99"/>
      <c r="FR16" s="100"/>
      <c r="FS16" s="101"/>
      <c r="FT16" s="99"/>
      <c r="FU16" s="100"/>
      <c r="FV16" s="101"/>
      <c r="FW16" s="99"/>
      <c r="FX16" s="100"/>
      <c r="FY16" s="101"/>
      <c r="FZ16" s="99"/>
      <c r="GA16" s="102"/>
      <c r="GB16" s="98"/>
      <c r="GC16" s="99"/>
      <c r="GD16" s="100"/>
      <c r="GE16" s="101"/>
      <c r="GF16" s="99"/>
      <c r="GG16" s="100"/>
      <c r="GH16" s="101"/>
      <c r="GI16" s="99"/>
      <c r="GJ16" s="100"/>
      <c r="GK16" s="101"/>
      <c r="GL16" s="99"/>
      <c r="GM16" s="102"/>
    </row>
    <row r="17" spans="2:195" ht="19.5" customHeight="1" x14ac:dyDescent="0.25">
      <c r="B17" s="130" t="str">
        <f>Donnees!$C$27</f>
        <v>Vaisseau-Design</v>
      </c>
      <c r="C17" s="103">
        <v>5</v>
      </c>
      <c r="D17" s="93"/>
      <c r="E17" s="94"/>
      <c r="F17" s="95"/>
      <c r="G17" s="96"/>
      <c r="H17" s="94"/>
      <c r="I17" s="95"/>
      <c r="J17" s="96"/>
      <c r="K17" s="94"/>
      <c r="L17" s="95"/>
      <c r="M17" s="118"/>
      <c r="N17" s="116"/>
      <c r="O17" s="119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118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117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  <c r="FD17" s="93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7"/>
      <c r="FP17" s="93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7"/>
      <c r="GB17" s="93"/>
      <c r="GC17" s="94"/>
      <c r="GD17" s="95"/>
      <c r="GE17" s="96"/>
      <c r="GF17" s="94"/>
      <c r="GG17" s="95"/>
      <c r="GH17" s="96"/>
      <c r="GI17" s="94"/>
      <c r="GJ17" s="95"/>
      <c r="GK17" s="96"/>
      <c r="GL17" s="94"/>
      <c r="GM17" s="97"/>
    </row>
    <row r="18" spans="2:195" ht="19.5" customHeight="1" thickBot="1" x14ac:dyDescent="0.3">
      <c r="B18" s="131"/>
      <c r="C18" s="104">
        <v>5</v>
      </c>
      <c r="D18" s="98"/>
      <c r="E18" s="99"/>
      <c r="F18" s="100"/>
      <c r="G18" s="101"/>
      <c r="H18" s="99"/>
      <c r="I18" s="100"/>
      <c r="J18" s="101"/>
      <c r="K18" s="99"/>
      <c r="L18" s="100"/>
      <c r="M18" s="123"/>
      <c r="N18" s="121"/>
      <c r="O18" s="124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23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22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98"/>
      <c r="CW18" s="99"/>
      <c r="CX18" s="100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  <c r="FD18" s="98"/>
      <c r="FE18" s="99"/>
      <c r="FF18" s="100"/>
      <c r="FG18" s="101"/>
      <c r="FH18" s="99"/>
      <c r="FI18" s="100"/>
      <c r="FJ18" s="101"/>
      <c r="FK18" s="99"/>
      <c r="FL18" s="100"/>
      <c r="FM18" s="101"/>
      <c r="FN18" s="99"/>
      <c r="FO18" s="102"/>
      <c r="FP18" s="98"/>
      <c r="FQ18" s="99"/>
      <c r="FR18" s="100"/>
      <c r="FS18" s="101"/>
      <c r="FT18" s="99"/>
      <c r="FU18" s="100"/>
      <c r="FV18" s="101"/>
      <c r="FW18" s="99"/>
      <c r="FX18" s="100"/>
      <c r="FY18" s="101"/>
      <c r="FZ18" s="99"/>
      <c r="GA18" s="102"/>
      <c r="GB18" s="98"/>
      <c r="GC18" s="99"/>
      <c r="GD18" s="100"/>
      <c r="GE18" s="101"/>
      <c r="GF18" s="99"/>
      <c r="GG18" s="100"/>
      <c r="GH18" s="101"/>
      <c r="GI18" s="99"/>
      <c r="GJ18" s="100"/>
      <c r="GK18" s="101"/>
      <c r="GL18" s="99"/>
      <c r="GM18" s="102"/>
    </row>
    <row r="19" spans="2:195" ht="19.5" customHeight="1" x14ac:dyDescent="0.25">
      <c r="B19" s="130" t="str">
        <f>Donnees!$C$28</f>
        <v>Vaisseau-Vies</v>
      </c>
      <c r="C19" s="103">
        <v>8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115"/>
      <c r="CW19" s="116"/>
      <c r="CX19" s="117"/>
      <c r="CY19" s="118"/>
      <c r="CZ19" s="116"/>
      <c r="DA19" s="117"/>
      <c r="DB19" s="118"/>
      <c r="DC19" s="116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  <c r="FD19" s="93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7"/>
      <c r="FP19" s="93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7"/>
      <c r="GB19" s="93"/>
      <c r="GC19" s="94"/>
      <c r="GD19" s="95"/>
      <c r="GE19" s="96"/>
      <c r="GF19" s="94"/>
      <c r="GG19" s="95"/>
      <c r="GH19" s="96"/>
      <c r="GI19" s="94"/>
      <c r="GJ19" s="95"/>
      <c r="GK19" s="96"/>
      <c r="GL19" s="94"/>
      <c r="GM19" s="97"/>
    </row>
    <row r="20" spans="2:195" ht="19.5" customHeight="1" thickBot="1" x14ac:dyDescent="0.3">
      <c r="B20" s="131"/>
      <c r="C20" s="104">
        <v>8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120"/>
      <c r="CW20" s="121"/>
      <c r="CX20" s="122"/>
      <c r="CY20" s="123"/>
      <c r="CZ20" s="121"/>
      <c r="DA20" s="122"/>
      <c r="DB20" s="123"/>
      <c r="DC20" s="121"/>
      <c r="DD20" s="100"/>
      <c r="DE20" s="101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  <c r="FD20" s="98"/>
      <c r="FE20" s="99"/>
      <c r="FF20" s="100"/>
      <c r="FG20" s="101"/>
      <c r="FH20" s="99"/>
      <c r="FI20" s="100"/>
      <c r="FJ20" s="101"/>
      <c r="FK20" s="99"/>
      <c r="FL20" s="100"/>
      <c r="FM20" s="101"/>
      <c r="FN20" s="99"/>
      <c r="FO20" s="102"/>
      <c r="FP20" s="98"/>
      <c r="FQ20" s="99"/>
      <c r="FR20" s="100"/>
      <c r="FS20" s="101"/>
      <c r="FT20" s="99"/>
      <c r="FU20" s="100"/>
      <c r="FV20" s="101"/>
      <c r="FW20" s="99"/>
      <c r="FX20" s="100"/>
      <c r="FY20" s="101"/>
      <c r="FZ20" s="99"/>
      <c r="GA20" s="102"/>
      <c r="GB20" s="98"/>
      <c r="GC20" s="99"/>
      <c r="GD20" s="100"/>
      <c r="GE20" s="101"/>
      <c r="GF20" s="99"/>
      <c r="GG20" s="100"/>
      <c r="GH20" s="101"/>
      <c r="GI20" s="99"/>
      <c r="GJ20" s="100"/>
      <c r="GK20" s="101"/>
      <c r="GL20" s="99"/>
      <c r="GM20" s="102"/>
    </row>
    <row r="21" spans="2:195" ht="19.5" customHeight="1" x14ac:dyDescent="0.25">
      <c r="B21" s="130" t="str">
        <f>Donnees!$C$29</f>
        <v>Vaisseau-Tir</v>
      </c>
      <c r="C21" s="103">
        <v>13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115"/>
      <c r="AO21" s="116"/>
      <c r="AP21" s="117"/>
      <c r="AQ21" s="118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118"/>
      <c r="BG21" s="116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115"/>
      <c r="BY21" s="116"/>
      <c r="BZ21" s="117"/>
      <c r="CA21" s="118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115"/>
      <c r="DI21" s="116"/>
      <c r="DJ21" s="117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  <c r="FD21" s="93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7"/>
      <c r="FP21" s="93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7"/>
      <c r="GB21" s="93"/>
      <c r="GC21" s="94"/>
      <c r="GD21" s="95"/>
      <c r="GE21" s="96"/>
      <c r="GF21" s="94"/>
      <c r="GG21" s="95"/>
      <c r="GH21" s="96"/>
      <c r="GI21" s="94"/>
      <c r="GJ21" s="95"/>
      <c r="GK21" s="96"/>
      <c r="GL21" s="94"/>
      <c r="GM21" s="97"/>
    </row>
    <row r="22" spans="2:195" ht="19.5" customHeight="1" thickBot="1" x14ac:dyDescent="0.3">
      <c r="B22" s="131"/>
      <c r="C22" s="104">
        <v>13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120"/>
      <c r="AO22" s="121"/>
      <c r="AP22" s="122"/>
      <c r="AQ22" s="123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23"/>
      <c r="BG22" s="121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120"/>
      <c r="BY22" s="121"/>
      <c r="BZ22" s="122"/>
      <c r="CA22" s="123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120"/>
      <c r="DI22" s="121"/>
      <c r="DJ22" s="122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  <c r="FD22" s="98"/>
      <c r="FE22" s="99"/>
      <c r="FF22" s="100"/>
      <c r="FG22" s="101"/>
      <c r="FH22" s="99"/>
      <c r="FI22" s="100"/>
      <c r="FJ22" s="101"/>
      <c r="FK22" s="99"/>
      <c r="FL22" s="100"/>
      <c r="FM22" s="101"/>
      <c r="FN22" s="99"/>
      <c r="FO22" s="102"/>
      <c r="FP22" s="98"/>
      <c r="FQ22" s="99"/>
      <c r="FR22" s="100"/>
      <c r="FS22" s="101"/>
      <c r="FT22" s="99"/>
      <c r="FU22" s="100"/>
      <c r="FV22" s="101"/>
      <c r="FW22" s="99"/>
      <c r="FX22" s="100"/>
      <c r="FY22" s="101"/>
      <c r="FZ22" s="99"/>
      <c r="GA22" s="102"/>
      <c r="GB22" s="98"/>
      <c r="GC22" s="99"/>
      <c r="GD22" s="100"/>
      <c r="GE22" s="101"/>
      <c r="GF22" s="99"/>
      <c r="GG22" s="100"/>
      <c r="GH22" s="101"/>
      <c r="GI22" s="99"/>
      <c r="GJ22" s="100"/>
      <c r="GK22" s="101"/>
      <c r="GL22" s="99"/>
      <c r="GM22" s="102"/>
    </row>
    <row r="23" spans="2:195" ht="19.5" customHeight="1" x14ac:dyDescent="0.25">
      <c r="B23" s="130" t="str">
        <f>Donnees!$C$30</f>
        <v>Ennemi-Mouvement</v>
      </c>
      <c r="C23" s="103">
        <v>17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116"/>
      <c r="AY23" s="97"/>
      <c r="AZ23" s="93"/>
      <c r="BA23" s="94"/>
      <c r="BB23" s="95"/>
      <c r="BC23" s="96"/>
      <c r="BD23" s="94"/>
      <c r="BE23" s="95"/>
      <c r="BF23" s="96"/>
      <c r="BG23" s="94"/>
      <c r="BH23" s="117"/>
      <c r="BI23" s="118"/>
      <c r="BJ23" s="116"/>
      <c r="BK23" s="97"/>
      <c r="BL23" s="115"/>
      <c r="BM23" s="116"/>
      <c r="BN23" s="117"/>
      <c r="BO23" s="118"/>
      <c r="BP23" s="116"/>
      <c r="BQ23" s="117"/>
      <c r="BR23" s="118"/>
      <c r="BS23" s="116"/>
      <c r="BT23" s="117"/>
      <c r="BU23" s="118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117"/>
      <c r="CS23" s="118"/>
      <c r="CT23" s="116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  <c r="FD23" s="93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7"/>
      <c r="FP23" s="93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7"/>
      <c r="GB23" s="93"/>
      <c r="GC23" s="94"/>
      <c r="GD23" s="95"/>
      <c r="GE23" s="96"/>
      <c r="GF23" s="94"/>
      <c r="GG23" s="95"/>
      <c r="GH23" s="96"/>
      <c r="GI23" s="94"/>
      <c r="GJ23" s="95"/>
      <c r="GK23" s="96"/>
      <c r="GL23" s="94"/>
      <c r="GM23" s="97"/>
    </row>
    <row r="24" spans="2:195" ht="19.5" customHeight="1" thickBot="1" x14ac:dyDescent="0.3">
      <c r="B24" s="131"/>
      <c r="C24" s="104">
        <v>17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121"/>
      <c r="AY24" s="102"/>
      <c r="AZ24" s="98"/>
      <c r="BA24" s="99"/>
      <c r="BB24" s="100"/>
      <c r="BC24" s="101"/>
      <c r="BD24" s="99"/>
      <c r="BE24" s="100"/>
      <c r="BF24" s="101"/>
      <c r="BG24" s="99"/>
      <c r="BH24" s="122"/>
      <c r="BI24" s="123"/>
      <c r="BJ24" s="121"/>
      <c r="BK24" s="102"/>
      <c r="BL24" s="120"/>
      <c r="BM24" s="121"/>
      <c r="BN24" s="122"/>
      <c r="BO24" s="123"/>
      <c r="BP24" s="121"/>
      <c r="BQ24" s="122"/>
      <c r="BR24" s="123"/>
      <c r="BS24" s="121"/>
      <c r="BT24" s="122"/>
      <c r="BU24" s="123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22"/>
      <c r="CS24" s="123"/>
      <c r="CT24" s="121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  <c r="FD24" s="98"/>
      <c r="FE24" s="99"/>
      <c r="FF24" s="100"/>
      <c r="FG24" s="101"/>
      <c r="FH24" s="99"/>
      <c r="FI24" s="100"/>
      <c r="FJ24" s="101"/>
      <c r="FK24" s="99"/>
      <c r="FL24" s="100"/>
      <c r="FM24" s="101"/>
      <c r="FN24" s="99"/>
      <c r="FO24" s="102"/>
      <c r="FP24" s="98"/>
      <c r="FQ24" s="99"/>
      <c r="FR24" s="100"/>
      <c r="FS24" s="101"/>
      <c r="FT24" s="99"/>
      <c r="FU24" s="100"/>
      <c r="FV24" s="101"/>
      <c r="FW24" s="99"/>
      <c r="FX24" s="100"/>
      <c r="FY24" s="101"/>
      <c r="FZ24" s="99"/>
      <c r="GA24" s="102"/>
      <c r="GB24" s="98"/>
      <c r="GC24" s="99"/>
      <c r="GD24" s="100"/>
      <c r="GE24" s="101"/>
      <c r="GF24" s="99"/>
      <c r="GG24" s="100"/>
      <c r="GH24" s="101"/>
      <c r="GI24" s="99"/>
      <c r="GJ24" s="100"/>
      <c r="GK24" s="101"/>
      <c r="GL24" s="99"/>
      <c r="GM24" s="102"/>
    </row>
    <row r="25" spans="2:195" ht="19.5" customHeight="1" x14ac:dyDescent="0.25">
      <c r="B25" s="130" t="str">
        <f>Donnees!$C$31</f>
        <v>Ennemi-Tir</v>
      </c>
      <c r="C25" s="103">
        <v>11</v>
      </c>
      <c r="D25" s="93"/>
      <c r="E25" s="94"/>
      <c r="F25" s="95"/>
      <c r="G25" s="96"/>
      <c r="H25" s="94"/>
      <c r="I25" s="95"/>
      <c r="J25" s="96"/>
      <c r="K25" s="94"/>
      <c r="L25" s="95"/>
      <c r="M25" s="96"/>
      <c r="N25" s="94"/>
      <c r="O25" s="97"/>
      <c r="P25" s="93"/>
      <c r="Q25" s="94"/>
      <c r="R25" s="95"/>
      <c r="S25" s="96"/>
      <c r="T25" s="94"/>
      <c r="U25" s="95"/>
      <c r="V25" s="96"/>
      <c r="W25" s="94"/>
      <c r="X25" s="95"/>
      <c r="Y25" s="96"/>
      <c r="Z25" s="94"/>
      <c r="AA25" s="97"/>
      <c r="AB25" s="93"/>
      <c r="AC25" s="94"/>
      <c r="AD25" s="95"/>
      <c r="AE25" s="96"/>
      <c r="AF25" s="94"/>
      <c r="AG25" s="95"/>
      <c r="AH25" s="96"/>
      <c r="AI25" s="94"/>
      <c r="AJ25" s="95"/>
      <c r="AK25" s="96"/>
      <c r="AL25" s="94"/>
      <c r="AM25" s="97"/>
      <c r="AN25" s="93"/>
      <c r="AO25" s="94"/>
      <c r="AP25" s="95"/>
      <c r="AQ25" s="96"/>
      <c r="AR25" s="94"/>
      <c r="AS25" s="95"/>
      <c r="AT25" s="96"/>
      <c r="AU25" s="94"/>
      <c r="AV25" s="95"/>
      <c r="AW25" s="96"/>
      <c r="AX25" s="94"/>
      <c r="AY25" s="97"/>
      <c r="AZ25" s="93"/>
      <c r="BA25" s="94"/>
      <c r="BB25" s="95"/>
      <c r="BC25" s="96"/>
      <c r="BD25" s="94"/>
      <c r="BE25" s="95"/>
      <c r="BF25" s="96"/>
      <c r="BG25" s="94"/>
      <c r="BH25" s="95"/>
      <c r="BI25" s="96"/>
      <c r="BJ25" s="94"/>
      <c r="BK25" s="97"/>
      <c r="BL25" s="93"/>
      <c r="BM25" s="94"/>
      <c r="BN25" s="95"/>
      <c r="BO25" s="96"/>
      <c r="BP25" s="94"/>
      <c r="BQ25" s="95"/>
      <c r="BR25" s="96"/>
      <c r="BS25" s="94"/>
      <c r="BT25" s="95"/>
      <c r="BU25" s="96"/>
      <c r="BV25" s="94"/>
      <c r="BW25" s="97"/>
      <c r="BX25" s="93"/>
      <c r="BY25" s="94"/>
      <c r="BZ25" s="95"/>
      <c r="CA25" s="96"/>
      <c r="CB25" s="94"/>
      <c r="CC25" s="95"/>
      <c r="CD25" s="96"/>
      <c r="CE25" s="94"/>
      <c r="CF25" s="95"/>
      <c r="CG25" s="96"/>
      <c r="CH25" s="94"/>
      <c r="CI25" s="97"/>
      <c r="CJ25" s="115"/>
      <c r="CK25" s="116"/>
      <c r="CL25" s="117"/>
      <c r="CM25" s="118"/>
      <c r="CN25" s="116"/>
      <c r="CO25" s="117"/>
      <c r="CP25" s="118"/>
      <c r="CQ25" s="116"/>
      <c r="CR25" s="95"/>
      <c r="CS25" s="96"/>
      <c r="CT25" s="94"/>
      <c r="CU25" s="97"/>
      <c r="CV25" s="93"/>
      <c r="CW25" s="94"/>
      <c r="CX25" s="95"/>
      <c r="CY25" s="96"/>
      <c r="CZ25" s="94"/>
      <c r="DA25" s="95"/>
      <c r="DB25" s="96"/>
      <c r="DC25" s="94"/>
      <c r="DD25" s="95"/>
      <c r="DE25" s="96"/>
      <c r="DF25" s="94"/>
      <c r="DG25" s="97"/>
      <c r="DH25" s="93"/>
      <c r="DI25" s="94"/>
      <c r="DJ25" s="95"/>
      <c r="DK25" s="118"/>
      <c r="DL25" s="116"/>
      <c r="DM25" s="117"/>
      <c r="DN25" s="96"/>
      <c r="DO25" s="94"/>
      <c r="DP25" s="95"/>
      <c r="DQ25" s="96"/>
      <c r="DR25" s="94"/>
      <c r="DS25" s="97"/>
      <c r="DT25" s="93"/>
      <c r="DU25" s="94"/>
      <c r="DV25" s="95"/>
      <c r="DW25" s="96"/>
      <c r="DX25" s="94"/>
      <c r="DY25" s="95"/>
      <c r="DZ25" s="96"/>
      <c r="EA25" s="94"/>
      <c r="EB25" s="95"/>
      <c r="EC25" s="96"/>
      <c r="ED25" s="94"/>
      <c r="EE25" s="97"/>
      <c r="EF25" s="93"/>
      <c r="EG25" s="94"/>
      <c r="EH25" s="95"/>
      <c r="EI25" s="96"/>
      <c r="EJ25" s="94"/>
      <c r="EK25" s="95"/>
      <c r="EL25" s="96"/>
      <c r="EM25" s="94"/>
      <c r="EN25" s="95"/>
      <c r="EO25" s="96"/>
      <c r="EP25" s="94"/>
      <c r="EQ25" s="97"/>
      <c r="ER25" s="93"/>
      <c r="ES25" s="94"/>
      <c r="ET25" s="95"/>
      <c r="EU25" s="96"/>
      <c r="EV25" s="94"/>
      <c r="EW25" s="95"/>
      <c r="EX25" s="96"/>
      <c r="EY25" s="94"/>
      <c r="EZ25" s="95"/>
      <c r="FA25" s="96"/>
      <c r="FB25" s="94"/>
      <c r="FC25" s="97"/>
      <c r="FD25" s="93"/>
      <c r="FE25" s="94"/>
      <c r="FF25" s="95"/>
      <c r="FG25" s="96"/>
      <c r="FH25" s="94"/>
      <c r="FI25" s="95"/>
      <c r="FJ25" s="96"/>
      <c r="FK25" s="94"/>
      <c r="FL25" s="95"/>
      <c r="FM25" s="96"/>
      <c r="FN25" s="94"/>
      <c r="FO25" s="97"/>
      <c r="FP25" s="93"/>
      <c r="FQ25" s="94"/>
      <c r="FR25" s="95"/>
      <c r="FS25" s="96"/>
      <c r="FT25" s="94"/>
      <c r="FU25" s="95"/>
      <c r="FV25" s="96"/>
      <c r="FW25" s="94"/>
      <c r="FX25" s="95"/>
      <c r="FY25" s="96"/>
      <c r="FZ25" s="94"/>
      <c r="GA25" s="97"/>
      <c r="GB25" s="93"/>
      <c r="GC25" s="94"/>
      <c r="GD25" s="95"/>
      <c r="GE25" s="96"/>
      <c r="GF25" s="94"/>
      <c r="GG25" s="95"/>
      <c r="GH25" s="96"/>
      <c r="GI25" s="94"/>
      <c r="GJ25" s="95"/>
      <c r="GK25" s="96"/>
      <c r="GL25" s="94"/>
      <c r="GM25" s="97"/>
    </row>
    <row r="26" spans="2:195" ht="19.5" customHeight="1" thickBot="1" x14ac:dyDescent="0.3">
      <c r="B26" s="131"/>
      <c r="C26" s="104">
        <v>11</v>
      </c>
      <c r="D26" s="98"/>
      <c r="E26" s="99"/>
      <c r="F26" s="100"/>
      <c r="G26" s="101"/>
      <c r="H26" s="99"/>
      <c r="I26" s="100"/>
      <c r="J26" s="101"/>
      <c r="K26" s="99"/>
      <c r="L26" s="100"/>
      <c r="M26" s="101"/>
      <c r="N26" s="99"/>
      <c r="O26" s="102"/>
      <c r="P26" s="98"/>
      <c r="Q26" s="99"/>
      <c r="R26" s="100"/>
      <c r="S26" s="101"/>
      <c r="T26" s="99"/>
      <c r="U26" s="100"/>
      <c r="V26" s="101"/>
      <c r="W26" s="99"/>
      <c r="X26" s="100"/>
      <c r="Y26" s="101"/>
      <c r="Z26" s="99"/>
      <c r="AA26" s="102"/>
      <c r="AB26" s="98"/>
      <c r="AC26" s="99"/>
      <c r="AD26" s="100"/>
      <c r="AE26" s="101"/>
      <c r="AF26" s="99"/>
      <c r="AG26" s="100"/>
      <c r="AH26" s="101"/>
      <c r="AI26" s="99"/>
      <c r="AJ26" s="100"/>
      <c r="AK26" s="101"/>
      <c r="AL26" s="99"/>
      <c r="AM26" s="102"/>
      <c r="AN26" s="98"/>
      <c r="AO26" s="99"/>
      <c r="AP26" s="100"/>
      <c r="AQ26" s="101"/>
      <c r="AR26" s="99"/>
      <c r="AS26" s="100"/>
      <c r="AT26" s="101"/>
      <c r="AU26" s="99"/>
      <c r="AV26" s="100"/>
      <c r="AW26" s="101"/>
      <c r="AX26" s="99"/>
      <c r="AY26" s="102"/>
      <c r="AZ26" s="98"/>
      <c r="BA26" s="99"/>
      <c r="BB26" s="100"/>
      <c r="BC26" s="101"/>
      <c r="BD26" s="99"/>
      <c r="BE26" s="100"/>
      <c r="BF26" s="101"/>
      <c r="BG26" s="99"/>
      <c r="BH26" s="100"/>
      <c r="BI26" s="101"/>
      <c r="BJ26" s="99"/>
      <c r="BK26" s="102"/>
      <c r="BL26" s="98"/>
      <c r="BM26" s="99"/>
      <c r="BN26" s="100"/>
      <c r="BO26" s="101"/>
      <c r="BP26" s="99"/>
      <c r="BQ26" s="100"/>
      <c r="BR26" s="101"/>
      <c r="BS26" s="99"/>
      <c r="BT26" s="100"/>
      <c r="BU26" s="101"/>
      <c r="BV26" s="99"/>
      <c r="BW26" s="102"/>
      <c r="BX26" s="98"/>
      <c r="BY26" s="99"/>
      <c r="BZ26" s="100"/>
      <c r="CA26" s="101"/>
      <c r="CB26" s="99"/>
      <c r="CC26" s="100"/>
      <c r="CD26" s="101"/>
      <c r="CE26" s="99"/>
      <c r="CF26" s="100"/>
      <c r="CG26" s="101"/>
      <c r="CH26" s="99"/>
      <c r="CI26" s="102"/>
      <c r="CJ26" s="120"/>
      <c r="CK26" s="121"/>
      <c r="CL26" s="122"/>
      <c r="CM26" s="123"/>
      <c r="CN26" s="121"/>
      <c r="CO26" s="122"/>
      <c r="CP26" s="123"/>
      <c r="CQ26" s="121"/>
      <c r="CR26" s="100"/>
      <c r="CS26" s="101"/>
      <c r="CT26" s="99"/>
      <c r="CU26" s="102"/>
      <c r="CV26" s="98"/>
      <c r="CW26" s="99"/>
      <c r="CX26" s="100"/>
      <c r="CY26" s="101"/>
      <c r="CZ26" s="99"/>
      <c r="DA26" s="100"/>
      <c r="DB26" s="101"/>
      <c r="DC26" s="99"/>
      <c r="DD26" s="100"/>
      <c r="DE26" s="101"/>
      <c r="DF26" s="99"/>
      <c r="DG26" s="102"/>
      <c r="DH26" s="98"/>
      <c r="DI26" s="99"/>
      <c r="DJ26" s="100"/>
      <c r="DK26" s="123"/>
      <c r="DL26" s="121"/>
      <c r="DM26" s="122"/>
      <c r="DN26" s="101"/>
      <c r="DO26" s="99"/>
      <c r="DP26" s="100"/>
      <c r="DQ26" s="101"/>
      <c r="DR26" s="99"/>
      <c r="DS26" s="102"/>
      <c r="DT26" s="98"/>
      <c r="DU26" s="99"/>
      <c r="DV26" s="100"/>
      <c r="DW26" s="101"/>
      <c r="DX26" s="99"/>
      <c r="DY26" s="100"/>
      <c r="DZ26" s="101"/>
      <c r="EA26" s="99"/>
      <c r="EB26" s="100"/>
      <c r="EC26" s="101"/>
      <c r="ED26" s="99"/>
      <c r="EE26" s="102"/>
      <c r="EF26" s="98"/>
      <c r="EG26" s="99"/>
      <c r="EH26" s="100"/>
      <c r="EI26" s="101"/>
      <c r="EJ26" s="99"/>
      <c r="EK26" s="100"/>
      <c r="EL26" s="101"/>
      <c r="EM26" s="99"/>
      <c r="EN26" s="100"/>
      <c r="EO26" s="101"/>
      <c r="EP26" s="99"/>
      <c r="EQ26" s="102"/>
      <c r="ER26" s="98"/>
      <c r="ES26" s="99"/>
      <c r="ET26" s="100"/>
      <c r="EU26" s="101"/>
      <c r="EV26" s="99"/>
      <c r="EW26" s="100"/>
      <c r="EX26" s="101"/>
      <c r="EY26" s="99"/>
      <c r="EZ26" s="100"/>
      <c r="FA26" s="101"/>
      <c r="FB26" s="99"/>
      <c r="FC26" s="102"/>
      <c r="FD26" s="98"/>
      <c r="FE26" s="99"/>
      <c r="FF26" s="100"/>
      <c r="FG26" s="101"/>
      <c r="FH26" s="99"/>
      <c r="FI26" s="100"/>
      <c r="FJ26" s="101"/>
      <c r="FK26" s="99"/>
      <c r="FL26" s="100"/>
      <c r="FM26" s="101"/>
      <c r="FN26" s="99"/>
      <c r="FO26" s="102"/>
      <c r="FP26" s="98"/>
      <c r="FQ26" s="99"/>
      <c r="FR26" s="100"/>
      <c r="FS26" s="101"/>
      <c r="FT26" s="99"/>
      <c r="FU26" s="100"/>
      <c r="FV26" s="101"/>
      <c r="FW26" s="99"/>
      <c r="FX26" s="100"/>
      <c r="FY26" s="101"/>
      <c r="FZ26" s="99"/>
      <c r="GA26" s="102"/>
      <c r="GB26" s="98"/>
      <c r="GC26" s="99"/>
      <c r="GD26" s="100"/>
      <c r="GE26" s="101"/>
      <c r="GF26" s="99"/>
      <c r="GG26" s="100"/>
      <c r="GH26" s="101"/>
      <c r="GI26" s="99"/>
      <c r="GJ26" s="100"/>
      <c r="GK26" s="101"/>
      <c r="GL26" s="99"/>
      <c r="GM26" s="102"/>
    </row>
    <row r="27" spans="2:195" ht="19.5" customHeight="1" x14ac:dyDescent="0.25">
      <c r="B27" s="130" t="str">
        <f>Donnees!$C$32</f>
        <v>Ennemi-Destruction</v>
      </c>
      <c r="C27" s="103">
        <v>5</v>
      </c>
      <c r="D27" s="93"/>
      <c r="E27" s="94"/>
      <c r="F27" s="95"/>
      <c r="G27" s="96"/>
      <c r="H27" s="94"/>
      <c r="I27" s="95"/>
      <c r="J27" s="96"/>
      <c r="K27" s="94"/>
      <c r="L27" s="95"/>
      <c r="M27" s="96"/>
      <c r="N27" s="94"/>
      <c r="O27" s="97"/>
      <c r="P27" s="93"/>
      <c r="Q27" s="94"/>
      <c r="R27" s="95"/>
      <c r="S27" s="96"/>
      <c r="T27" s="94"/>
      <c r="U27" s="95"/>
      <c r="V27" s="96"/>
      <c r="W27" s="94"/>
      <c r="X27" s="95"/>
      <c r="Y27" s="96"/>
      <c r="Z27" s="94"/>
      <c r="AA27" s="97"/>
      <c r="AB27" s="93"/>
      <c r="AC27" s="94"/>
      <c r="AD27" s="95"/>
      <c r="AE27" s="96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5"/>
      <c r="AW27" s="96"/>
      <c r="AX27" s="94"/>
      <c r="AY27" s="97"/>
      <c r="AZ27" s="93"/>
      <c r="BA27" s="94"/>
      <c r="BB27" s="95"/>
      <c r="BC27" s="96"/>
      <c r="BD27" s="94"/>
      <c r="BE27" s="95"/>
      <c r="BF27" s="96"/>
      <c r="BG27" s="94"/>
      <c r="BH27" s="95"/>
      <c r="BI27" s="96"/>
      <c r="BJ27" s="94"/>
      <c r="BK27" s="97"/>
      <c r="BL27" s="93"/>
      <c r="BM27" s="94"/>
      <c r="BN27" s="95"/>
      <c r="BO27" s="96"/>
      <c r="BP27" s="94"/>
      <c r="BQ27" s="95"/>
      <c r="BR27" s="96"/>
      <c r="BS27" s="94"/>
      <c r="BT27" s="95"/>
      <c r="BU27" s="96"/>
      <c r="BV27" s="116"/>
      <c r="BW27" s="97"/>
      <c r="BX27" s="93"/>
      <c r="BY27" s="94"/>
      <c r="BZ27" s="95"/>
      <c r="CA27" s="96"/>
      <c r="CB27" s="94"/>
      <c r="CC27" s="95"/>
      <c r="CD27" s="96"/>
      <c r="CE27" s="116"/>
      <c r="CF27" s="117"/>
      <c r="CG27" s="118"/>
      <c r="CH27" s="116"/>
      <c r="CI27" s="97"/>
      <c r="CJ27" s="93"/>
      <c r="CK27" s="94"/>
      <c r="CL27" s="95"/>
      <c r="CM27" s="96"/>
      <c r="CN27" s="94"/>
      <c r="CO27" s="95"/>
      <c r="CP27" s="96"/>
      <c r="CQ27" s="94"/>
      <c r="CR27" s="95"/>
      <c r="CS27" s="96"/>
      <c r="CT27" s="94"/>
      <c r="CU27" s="97"/>
      <c r="CV27" s="93"/>
      <c r="CW27" s="94"/>
      <c r="CX27" s="95"/>
      <c r="CY27" s="96"/>
      <c r="CZ27" s="94"/>
      <c r="DA27" s="95"/>
      <c r="DB27" s="96"/>
      <c r="DC27" s="94"/>
      <c r="DD27" s="95"/>
      <c r="DE27" s="96"/>
      <c r="DF27" s="94"/>
      <c r="DG27" s="97"/>
      <c r="DH27" s="93"/>
      <c r="DI27" s="94"/>
      <c r="DJ27" s="95"/>
      <c r="DK27" s="96"/>
      <c r="DL27" s="94"/>
      <c r="DM27" s="95"/>
      <c r="DN27" s="96"/>
      <c r="DO27" s="94"/>
      <c r="DP27" s="95"/>
      <c r="DQ27" s="96"/>
      <c r="DR27" s="94"/>
      <c r="DS27" s="97"/>
      <c r="DT27" s="93"/>
      <c r="DU27" s="94"/>
      <c r="DV27" s="95"/>
      <c r="DW27" s="96"/>
      <c r="DX27" s="94"/>
      <c r="DY27" s="95"/>
      <c r="DZ27" s="96"/>
      <c r="EA27" s="94"/>
      <c r="EB27" s="95"/>
      <c r="EC27" s="96"/>
      <c r="ED27" s="94"/>
      <c r="EE27" s="97"/>
      <c r="EF27" s="93"/>
      <c r="EG27" s="94"/>
      <c r="EH27" s="95"/>
      <c r="EI27" s="96"/>
      <c r="EJ27" s="94"/>
      <c r="EK27" s="95"/>
      <c r="EL27" s="96"/>
      <c r="EM27" s="94"/>
      <c r="EN27" s="95"/>
      <c r="EO27" s="96"/>
      <c r="EP27" s="94"/>
      <c r="EQ27" s="97"/>
      <c r="ER27" s="93"/>
      <c r="ES27" s="94"/>
      <c r="ET27" s="95"/>
      <c r="EU27" s="96"/>
      <c r="EV27" s="94"/>
      <c r="EW27" s="95"/>
      <c r="EX27" s="96"/>
      <c r="EY27" s="94"/>
      <c r="EZ27" s="95"/>
      <c r="FA27" s="96"/>
      <c r="FB27" s="94"/>
      <c r="FC27" s="97"/>
      <c r="FD27" s="93"/>
      <c r="FE27" s="94"/>
      <c r="FF27" s="95"/>
      <c r="FG27" s="96"/>
      <c r="FH27" s="94"/>
      <c r="FI27" s="95"/>
      <c r="FJ27" s="96"/>
      <c r="FK27" s="94"/>
      <c r="FL27" s="95"/>
      <c r="FM27" s="96"/>
      <c r="FN27" s="94"/>
      <c r="FO27" s="97"/>
      <c r="FP27" s="93"/>
      <c r="FQ27" s="94"/>
      <c r="FR27" s="95"/>
      <c r="FS27" s="96"/>
      <c r="FT27" s="94"/>
      <c r="FU27" s="95"/>
      <c r="FV27" s="96"/>
      <c r="FW27" s="94"/>
      <c r="FX27" s="95"/>
      <c r="FY27" s="96"/>
      <c r="FZ27" s="94"/>
      <c r="GA27" s="97"/>
      <c r="GB27" s="93"/>
      <c r="GC27" s="94"/>
      <c r="GD27" s="95"/>
      <c r="GE27" s="96"/>
      <c r="GF27" s="94"/>
      <c r="GG27" s="95"/>
      <c r="GH27" s="96"/>
      <c r="GI27" s="94"/>
      <c r="GJ27" s="95"/>
      <c r="GK27" s="96"/>
      <c r="GL27" s="94"/>
      <c r="GM27" s="97"/>
    </row>
    <row r="28" spans="2:195" ht="19.5" customHeight="1" thickBot="1" x14ac:dyDescent="0.3">
      <c r="B28" s="131"/>
      <c r="C28" s="104">
        <v>5</v>
      </c>
      <c r="D28" s="98"/>
      <c r="E28" s="99"/>
      <c r="F28" s="100"/>
      <c r="G28" s="101"/>
      <c r="H28" s="99"/>
      <c r="I28" s="100"/>
      <c r="J28" s="101"/>
      <c r="K28" s="99"/>
      <c r="L28" s="100"/>
      <c r="M28" s="101"/>
      <c r="N28" s="99"/>
      <c r="O28" s="102"/>
      <c r="P28" s="98"/>
      <c r="Q28" s="99"/>
      <c r="R28" s="100"/>
      <c r="S28" s="101"/>
      <c r="T28" s="99"/>
      <c r="U28" s="100"/>
      <c r="V28" s="101"/>
      <c r="W28" s="99"/>
      <c r="X28" s="100"/>
      <c r="Y28" s="101"/>
      <c r="Z28" s="99"/>
      <c r="AA28" s="102"/>
      <c r="AB28" s="98"/>
      <c r="AC28" s="99"/>
      <c r="AD28" s="100"/>
      <c r="AE28" s="101"/>
      <c r="AF28" s="99"/>
      <c r="AG28" s="100"/>
      <c r="AH28" s="101"/>
      <c r="AI28" s="99"/>
      <c r="AJ28" s="100"/>
      <c r="AK28" s="101"/>
      <c r="AL28" s="99"/>
      <c r="AM28" s="102"/>
      <c r="AN28" s="98"/>
      <c r="AO28" s="99"/>
      <c r="AP28" s="100"/>
      <c r="AQ28" s="101"/>
      <c r="AR28" s="99"/>
      <c r="AS28" s="100"/>
      <c r="AT28" s="101"/>
      <c r="AU28" s="99"/>
      <c r="AV28" s="100"/>
      <c r="AW28" s="101"/>
      <c r="AX28" s="99"/>
      <c r="AY28" s="102"/>
      <c r="AZ28" s="98"/>
      <c r="BA28" s="99"/>
      <c r="BB28" s="100"/>
      <c r="BC28" s="101"/>
      <c r="BD28" s="99"/>
      <c r="BE28" s="100"/>
      <c r="BF28" s="101"/>
      <c r="BG28" s="99"/>
      <c r="BH28" s="100"/>
      <c r="BI28" s="101"/>
      <c r="BJ28" s="99"/>
      <c r="BK28" s="102"/>
      <c r="BL28" s="98"/>
      <c r="BM28" s="99"/>
      <c r="BN28" s="100"/>
      <c r="BO28" s="101"/>
      <c r="BP28" s="99"/>
      <c r="BQ28" s="100"/>
      <c r="BR28" s="101"/>
      <c r="BS28" s="99"/>
      <c r="BT28" s="100"/>
      <c r="BU28" s="101"/>
      <c r="BV28" s="121"/>
      <c r="BW28" s="102"/>
      <c r="BX28" s="98"/>
      <c r="BY28" s="99"/>
      <c r="BZ28" s="100"/>
      <c r="CA28" s="101"/>
      <c r="CB28" s="99"/>
      <c r="CC28" s="100"/>
      <c r="CD28" s="101"/>
      <c r="CE28" s="121"/>
      <c r="CF28" s="122"/>
      <c r="CG28" s="123"/>
      <c r="CH28" s="121"/>
      <c r="CI28" s="102"/>
      <c r="CJ28" s="98"/>
      <c r="CK28" s="99"/>
      <c r="CL28" s="100"/>
      <c r="CM28" s="101"/>
      <c r="CN28" s="99"/>
      <c r="CO28" s="100"/>
      <c r="CP28" s="101"/>
      <c r="CQ28" s="99"/>
      <c r="CR28" s="100"/>
      <c r="CS28" s="101"/>
      <c r="CT28" s="99"/>
      <c r="CU28" s="102"/>
      <c r="CV28" s="98"/>
      <c r="CW28" s="99"/>
      <c r="CX28" s="100"/>
      <c r="CY28" s="101"/>
      <c r="CZ28" s="99"/>
      <c r="DA28" s="100"/>
      <c r="DB28" s="101"/>
      <c r="DC28" s="99"/>
      <c r="DD28" s="100"/>
      <c r="DE28" s="101"/>
      <c r="DF28" s="99"/>
      <c r="DG28" s="102"/>
      <c r="DH28" s="98"/>
      <c r="DI28" s="99"/>
      <c r="DJ28" s="100"/>
      <c r="DK28" s="101"/>
      <c r="DL28" s="99"/>
      <c r="DM28" s="100"/>
      <c r="DN28" s="101"/>
      <c r="DO28" s="99"/>
      <c r="DP28" s="100"/>
      <c r="DQ28" s="101"/>
      <c r="DR28" s="99"/>
      <c r="DS28" s="102"/>
      <c r="DT28" s="98"/>
      <c r="DU28" s="99"/>
      <c r="DV28" s="100"/>
      <c r="DW28" s="101"/>
      <c r="DX28" s="99"/>
      <c r="DY28" s="100"/>
      <c r="DZ28" s="101"/>
      <c r="EA28" s="99"/>
      <c r="EB28" s="100"/>
      <c r="EC28" s="101"/>
      <c r="ED28" s="99"/>
      <c r="EE28" s="102"/>
      <c r="EF28" s="98"/>
      <c r="EG28" s="99"/>
      <c r="EH28" s="100"/>
      <c r="EI28" s="101"/>
      <c r="EJ28" s="99"/>
      <c r="EK28" s="100"/>
      <c r="EL28" s="101"/>
      <c r="EM28" s="99"/>
      <c r="EN28" s="100"/>
      <c r="EO28" s="101"/>
      <c r="EP28" s="99"/>
      <c r="EQ28" s="102"/>
      <c r="ER28" s="98"/>
      <c r="ES28" s="99"/>
      <c r="ET28" s="100"/>
      <c r="EU28" s="101"/>
      <c r="EV28" s="99"/>
      <c r="EW28" s="100"/>
      <c r="EX28" s="101"/>
      <c r="EY28" s="99"/>
      <c r="EZ28" s="100"/>
      <c r="FA28" s="101"/>
      <c r="FB28" s="99"/>
      <c r="FC28" s="102"/>
      <c r="FD28" s="98"/>
      <c r="FE28" s="99"/>
      <c r="FF28" s="100"/>
      <c r="FG28" s="101"/>
      <c r="FH28" s="99"/>
      <c r="FI28" s="100"/>
      <c r="FJ28" s="101"/>
      <c r="FK28" s="99"/>
      <c r="FL28" s="100"/>
      <c r="FM28" s="101"/>
      <c r="FN28" s="99"/>
      <c r="FO28" s="102"/>
      <c r="FP28" s="98"/>
      <c r="FQ28" s="99"/>
      <c r="FR28" s="100"/>
      <c r="FS28" s="101"/>
      <c r="FT28" s="99"/>
      <c r="FU28" s="100"/>
      <c r="FV28" s="101"/>
      <c r="FW28" s="99"/>
      <c r="FX28" s="100"/>
      <c r="FY28" s="101"/>
      <c r="FZ28" s="99"/>
      <c r="GA28" s="102"/>
      <c r="GB28" s="98"/>
      <c r="GC28" s="99"/>
      <c r="GD28" s="100"/>
      <c r="GE28" s="101"/>
      <c r="GF28" s="99"/>
      <c r="GG28" s="100"/>
      <c r="GH28" s="101"/>
      <c r="GI28" s="99"/>
      <c r="GJ28" s="100"/>
      <c r="GK28" s="101"/>
      <c r="GL28" s="99"/>
      <c r="GM28" s="102"/>
    </row>
    <row r="29" spans="2:195" ht="19.5" customHeight="1" x14ac:dyDescent="0.25">
      <c r="B29" s="130" t="str">
        <f>Donnees!$C$33</f>
        <v>Ennemi-Mouvement-Essaim</v>
      </c>
      <c r="C29" s="103">
        <v>0</v>
      </c>
      <c r="D29" s="93"/>
      <c r="E29" s="94"/>
      <c r="F29" s="95"/>
      <c r="G29" s="96"/>
      <c r="H29" s="94"/>
      <c r="I29" s="95"/>
      <c r="J29" s="96"/>
      <c r="K29" s="94"/>
      <c r="L29" s="95"/>
      <c r="M29" s="96"/>
      <c r="N29" s="94"/>
      <c r="O29" s="97"/>
      <c r="P29" s="93"/>
      <c r="Q29" s="94"/>
      <c r="R29" s="95"/>
      <c r="S29" s="96"/>
      <c r="T29" s="94"/>
      <c r="U29" s="95"/>
      <c r="V29" s="96"/>
      <c r="W29" s="94"/>
      <c r="X29" s="95"/>
      <c r="Y29" s="96"/>
      <c r="Z29" s="94"/>
      <c r="AA29" s="97"/>
      <c r="AB29" s="93"/>
      <c r="AC29" s="94"/>
      <c r="AD29" s="95"/>
      <c r="AE29" s="96"/>
      <c r="AF29" s="94"/>
      <c r="AG29" s="95"/>
      <c r="AH29" s="96"/>
      <c r="AI29" s="94"/>
      <c r="AJ29" s="95"/>
      <c r="AK29" s="96"/>
      <c r="AL29" s="94"/>
      <c r="AM29" s="97"/>
      <c r="AN29" s="93"/>
      <c r="AO29" s="94"/>
      <c r="AP29" s="95"/>
      <c r="AQ29" s="96"/>
      <c r="AR29" s="94"/>
      <c r="AS29" s="95"/>
      <c r="AT29" s="96"/>
      <c r="AU29" s="94"/>
      <c r="AV29" s="95"/>
      <c r="AW29" s="96"/>
      <c r="AX29" s="94"/>
      <c r="AY29" s="97"/>
      <c r="AZ29" s="93"/>
      <c r="BA29" s="94"/>
      <c r="BB29" s="95"/>
      <c r="BC29" s="96"/>
      <c r="BD29" s="94"/>
      <c r="BE29" s="95"/>
      <c r="BF29" s="96"/>
      <c r="BG29" s="94"/>
      <c r="BH29" s="95"/>
      <c r="BI29" s="96"/>
      <c r="BJ29" s="94"/>
      <c r="BK29" s="97"/>
      <c r="BL29" s="93"/>
      <c r="BM29" s="94"/>
      <c r="BN29" s="95"/>
      <c r="BO29" s="96"/>
      <c r="BP29" s="94"/>
      <c r="BQ29" s="95"/>
      <c r="BR29" s="96"/>
      <c r="BS29" s="94"/>
      <c r="BT29" s="95"/>
      <c r="BU29" s="96"/>
      <c r="BV29" s="94"/>
      <c r="BW29" s="97"/>
      <c r="BX29" s="93"/>
      <c r="BY29" s="94"/>
      <c r="BZ29" s="95"/>
      <c r="CA29" s="96"/>
      <c r="CB29" s="94"/>
      <c r="CC29" s="95"/>
      <c r="CD29" s="96"/>
      <c r="CE29" s="94"/>
      <c r="CF29" s="95"/>
      <c r="CG29" s="96"/>
      <c r="CH29" s="94"/>
      <c r="CI29" s="97"/>
      <c r="CJ29" s="93"/>
      <c r="CK29" s="94"/>
      <c r="CL29" s="95"/>
      <c r="CM29" s="96"/>
      <c r="CN29" s="94"/>
      <c r="CO29" s="95"/>
      <c r="CP29" s="96"/>
      <c r="CQ29" s="94"/>
      <c r="CR29" s="95"/>
      <c r="CS29" s="96"/>
      <c r="CT29" s="94"/>
      <c r="CU29" s="97"/>
      <c r="CV29" s="93"/>
      <c r="CW29" s="94"/>
      <c r="CX29" s="95"/>
      <c r="CY29" s="96"/>
      <c r="CZ29" s="94"/>
      <c r="DA29" s="95"/>
      <c r="DB29" s="96"/>
      <c r="DC29" s="94"/>
      <c r="DD29" s="95"/>
      <c r="DE29" s="96"/>
      <c r="DF29" s="94"/>
      <c r="DG29" s="97"/>
      <c r="DH29" s="93"/>
      <c r="DI29" s="94"/>
      <c r="DJ29" s="95"/>
      <c r="DK29" s="96"/>
      <c r="DL29" s="94"/>
      <c r="DM29" s="95"/>
      <c r="DN29" s="96"/>
      <c r="DO29" s="94"/>
      <c r="DP29" s="95"/>
      <c r="DQ29" s="96"/>
      <c r="DR29" s="94"/>
      <c r="DS29" s="97"/>
      <c r="DT29" s="93"/>
      <c r="DU29" s="94"/>
      <c r="DV29" s="95"/>
      <c r="DW29" s="96"/>
      <c r="DX29" s="94"/>
      <c r="DY29" s="95"/>
      <c r="DZ29" s="96"/>
      <c r="EA29" s="94"/>
      <c r="EB29" s="95"/>
      <c r="EC29" s="96"/>
      <c r="ED29" s="94"/>
      <c r="EE29" s="97"/>
      <c r="EF29" s="93"/>
      <c r="EG29" s="94"/>
      <c r="EH29" s="95"/>
      <c r="EI29" s="96"/>
      <c r="EJ29" s="94"/>
      <c r="EK29" s="95"/>
      <c r="EL29" s="96"/>
      <c r="EM29" s="94"/>
      <c r="EN29" s="95"/>
      <c r="EO29" s="96"/>
      <c r="EP29" s="94"/>
      <c r="EQ29" s="97"/>
      <c r="ER29" s="93"/>
      <c r="ES29" s="94"/>
      <c r="ET29" s="95"/>
      <c r="EU29" s="96"/>
      <c r="EV29" s="94"/>
      <c r="EW29" s="95"/>
      <c r="EX29" s="96"/>
      <c r="EY29" s="94"/>
      <c r="EZ29" s="95"/>
      <c r="FA29" s="96"/>
      <c r="FB29" s="94"/>
      <c r="FC29" s="97"/>
      <c r="FD29" s="93"/>
      <c r="FE29" s="94"/>
      <c r="FF29" s="95"/>
      <c r="FG29" s="96"/>
      <c r="FH29" s="94"/>
      <c r="FI29" s="95"/>
      <c r="FJ29" s="96"/>
      <c r="FK29" s="94"/>
      <c r="FL29" s="95"/>
      <c r="FM29" s="96"/>
      <c r="FN29" s="94"/>
      <c r="FO29" s="97"/>
      <c r="FP29" s="93"/>
      <c r="FQ29" s="94"/>
      <c r="FR29" s="95"/>
      <c r="FS29" s="96"/>
      <c r="FT29" s="94"/>
      <c r="FU29" s="95"/>
      <c r="FV29" s="96"/>
      <c r="FW29" s="94"/>
      <c r="FX29" s="95"/>
      <c r="FY29" s="96"/>
      <c r="FZ29" s="94"/>
      <c r="GA29" s="97"/>
      <c r="GB29" s="93"/>
      <c r="GC29" s="94"/>
      <c r="GD29" s="95"/>
      <c r="GE29" s="96"/>
      <c r="GF29" s="94"/>
      <c r="GG29" s="95"/>
      <c r="GH29" s="96"/>
      <c r="GI29" s="94"/>
      <c r="GJ29" s="95"/>
      <c r="GK29" s="96"/>
      <c r="GL29" s="94"/>
      <c r="GM29" s="97"/>
    </row>
    <row r="30" spans="2:195" ht="19.5" customHeight="1" thickBot="1" x14ac:dyDescent="0.3">
      <c r="B30" s="131"/>
      <c r="C30" s="104">
        <v>0</v>
      </c>
      <c r="D30" s="98"/>
      <c r="E30" s="99"/>
      <c r="F30" s="100"/>
      <c r="G30" s="101"/>
      <c r="H30" s="99"/>
      <c r="I30" s="100"/>
      <c r="J30" s="101"/>
      <c r="K30" s="99"/>
      <c r="L30" s="100"/>
      <c r="M30" s="101"/>
      <c r="N30" s="99"/>
      <c r="O30" s="102"/>
      <c r="P30" s="98"/>
      <c r="Q30" s="99"/>
      <c r="R30" s="100"/>
      <c r="S30" s="101"/>
      <c r="T30" s="99"/>
      <c r="U30" s="100"/>
      <c r="V30" s="101"/>
      <c r="W30" s="99"/>
      <c r="X30" s="100"/>
      <c r="Y30" s="101"/>
      <c r="Z30" s="99"/>
      <c r="AA30" s="102"/>
      <c r="AB30" s="98"/>
      <c r="AC30" s="99"/>
      <c r="AD30" s="100"/>
      <c r="AE30" s="101"/>
      <c r="AF30" s="99"/>
      <c r="AG30" s="100"/>
      <c r="AH30" s="101"/>
      <c r="AI30" s="99"/>
      <c r="AJ30" s="100"/>
      <c r="AK30" s="101"/>
      <c r="AL30" s="99"/>
      <c r="AM30" s="102"/>
      <c r="AN30" s="98"/>
      <c r="AO30" s="99"/>
      <c r="AP30" s="100"/>
      <c r="AQ30" s="101"/>
      <c r="AR30" s="99"/>
      <c r="AS30" s="100"/>
      <c r="AT30" s="101"/>
      <c r="AU30" s="99"/>
      <c r="AV30" s="100"/>
      <c r="AW30" s="101"/>
      <c r="AX30" s="99"/>
      <c r="AY30" s="102"/>
      <c r="AZ30" s="98"/>
      <c r="BA30" s="99"/>
      <c r="BB30" s="100"/>
      <c r="BC30" s="101"/>
      <c r="BD30" s="99"/>
      <c r="BE30" s="100"/>
      <c r="BF30" s="101"/>
      <c r="BG30" s="99"/>
      <c r="BH30" s="100"/>
      <c r="BI30" s="101"/>
      <c r="BJ30" s="99"/>
      <c r="BK30" s="102"/>
      <c r="BL30" s="98"/>
      <c r="BM30" s="99"/>
      <c r="BN30" s="100"/>
      <c r="BO30" s="101"/>
      <c r="BP30" s="99"/>
      <c r="BQ30" s="100"/>
      <c r="BR30" s="101"/>
      <c r="BS30" s="99"/>
      <c r="BT30" s="100"/>
      <c r="BU30" s="101"/>
      <c r="BV30" s="99"/>
      <c r="BW30" s="102"/>
      <c r="BX30" s="98"/>
      <c r="BY30" s="99"/>
      <c r="BZ30" s="100"/>
      <c r="CA30" s="101"/>
      <c r="CB30" s="99"/>
      <c r="CC30" s="100"/>
      <c r="CD30" s="101"/>
      <c r="CE30" s="99"/>
      <c r="CF30" s="100"/>
      <c r="CG30" s="101"/>
      <c r="CH30" s="99"/>
      <c r="CI30" s="102"/>
      <c r="CJ30" s="98"/>
      <c r="CK30" s="99"/>
      <c r="CL30" s="100"/>
      <c r="CM30" s="101"/>
      <c r="CN30" s="99"/>
      <c r="CO30" s="100"/>
      <c r="CP30" s="101"/>
      <c r="CQ30" s="99"/>
      <c r="CR30" s="100"/>
      <c r="CS30" s="101"/>
      <c r="CT30" s="99"/>
      <c r="CU30" s="102"/>
      <c r="CV30" s="98"/>
      <c r="CW30" s="99"/>
      <c r="CX30" s="100"/>
      <c r="CY30" s="101"/>
      <c r="CZ30" s="99"/>
      <c r="DA30" s="100"/>
      <c r="DB30" s="101"/>
      <c r="DC30" s="99"/>
      <c r="DD30" s="100"/>
      <c r="DE30" s="101"/>
      <c r="DF30" s="99"/>
      <c r="DG30" s="102"/>
      <c r="DH30" s="98"/>
      <c r="DI30" s="99"/>
      <c r="DJ30" s="100"/>
      <c r="DK30" s="101"/>
      <c r="DL30" s="99"/>
      <c r="DM30" s="100"/>
      <c r="DN30" s="101"/>
      <c r="DO30" s="99"/>
      <c r="DP30" s="100"/>
      <c r="DQ30" s="101"/>
      <c r="DR30" s="99"/>
      <c r="DS30" s="102"/>
      <c r="DT30" s="98"/>
      <c r="DU30" s="99"/>
      <c r="DV30" s="100"/>
      <c r="DW30" s="101"/>
      <c r="DX30" s="99"/>
      <c r="DY30" s="100"/>
      <c r="DZ30" s="101"/>
      <c r="EA30" s="99"/>
      <c r="EB30" s="100"/>
      <c r="EC30" s="101"/>
      <c r="ED30" s="99"/>
      <c r="EE30" s="102"/>
      <c r="EF30" s="98"/>
      <c r="EG30" s="99"/>
      <c r="EH30" s="100"/>
      <c r="EI30" s="101"/>
      <c r="EJ30" s="99"/>
      <c r="EK30" s="100"/>
      <c r="EL30" s="101"/>
      <c r="EM30" s="99"/>
      <c r="EN30" s="100"/>
      <c r="EO30" s="101"/>
      <c r="EP30" s="99"/>
      <c r="EQ30" s="102"/>
      <c r="ER30" s="98"/>
      <c r="ES30" s="99"/>
      <c r="ET30" s="100"/>
      <c r="EU30" s="101"/>
      <c r="EV30" s="99"/>
      <c r="EW30" s="100"/>
      <c r="EX30" s="101"/>
      <c r="EY30" s="99"/>
      <c r="EZ30" s="100"/>
      <c r="FA30" s="101"/>
      <c r="FB30" s="99"/>
      <c r="FC30" s="102"/>
      <c r="FD30" s="98"/>
      <c r="FE30" s="99"/>
      <c r="FF30" s="100"/>
      <c r="FG30" s="101"/>
      <c r="FH30" s="99"/>
      <c r="FI30" s="100"/>
      <c r="FJ30" s="101"/>
      <c r="FK30" s="99"/>
      <c r="FL30" s="100"/>
      <c r="FM30" s="101"/>
      <c r="FN30" s="99"/>
      <c r="FO30" s="102"/>
      <c r="FP30" s="98"/>
      <c r="FQ30" s="99"/>
      <c r="FR30" s="100"/>
      <c r="FS30" s="101"/>
      <c r="FT30" s="99"/>
      <c r="FU30" s="100"/>
      <c r="FV30" s="101"/>
      <c r="FW30" s="99"/>
      <c r="FX30" s="100"/>
      <c r="FY30" s="101"/>
      <c r="FZ30" s="99"/>
      <c r="GA30" s="102"/>
      <c r="GB30" s="98"/>
      <c r="GC30" s="99"/>
      <c r="GD30" s="100"/>
      <c r="GE30" s="101"/>
      <c r="GF30" s="99"/>
      <c r="GG30" s="100"/>
      <c r="GH30" s="101"/>
      <c r="GI30" s="99"/>
      <c r="GJ30" s="100"/>
      <c r="GK30" s="101"/>
      <c r="GL30" s="99"/>
      <c r="GM30" s="102"/>
    </row>
    <row r="31" spans="2:195" ht="19.5" customHeight="1" x14ac:dyDescent="0.25">
      <c r="B31" s="130" t="str">
        <f>Donnees!$C$34</f>
        <v>Score</v>
      </c>
      <c r="C31" s="103">
        <v>0</v>
      </c>
      <c r="D31" s="93"/>
      <c r="E31" s="94"/>
      <c r="F31" s="95"/>
      <c r="G31" s="96"/>
      <c r="H31" s="94"/>
      <c r="I31" s="95"/>
      <c r="J31" s="96"/>
      <c r="K31" s="94"/>
      <c r="L31" s="95"/>
      <c r="M31" s="96"/>
      <c r="N31" s="94"/>
      <c r="O31" s="97"/>
      <c r="P31" s="93"/>
      <c r="Q31" s="94"/>
      <c r="R31" s="95"/>
      <c r="S31" s="96"/>
      <c r="T31" s="94"/>
      <c r="U31" s="95"/>
      <c r="V31" s="96"/>
      <c r="W31" s="94"/>
      <c r="X31" s="95"/>
      <c r="Y31" s="96"/>
      <c r="Z31" s="94"/>
      <c r="AA31" s="97"/>
      <c r="AB31" s="93"/>
      <c r="AC31" s="94"/>
      <c r="AD31" s="95"/>
      <c r="AE31" s="96"/>
      <c r="AF31" s="94"/>
      <c r="AG31" s="95"/>
      <c r="AH31" s="96"/>
      <c r="AI31" s="94"/>
      <c r="AJ31" s="95"/>
      <c r="AK31" s="96"/>
      <c r="AL31" s="94"/>
      <c r="AM31" s="97"/>
      <c r="AN31" s="93"/>
      <c r="AO31" s="94"/>
      <c r="AP31" s="95"/>
      <c r="AQ31" s="96"/>
      <c r="AR31" s="94"/>
      <c r="AS31" s="95"/>
      <c r="AT31" s="96"/>
      <c r="AU31" s="94"/>
      <c r="AV31" s="95"/>
      <c r="AW31" s="96"/>
      <c r="AX31" s="94"/>
      <c r="AY31" s="97"/>
      <c r="AZ31" s="93"/>
      <c r="BA31" s="94"/>
      <c r="BB31" s="95"/>
      <c r="BC31" s="96"/>
      <c r="BD31" s="94"/>
      <c r="BE31" s="95"/>
      <c r="BF31" s="96"/>
      <c r="BG31" s="94"/>
      <c r="BH31" s="95"/>
      <c r="BI31" s="96"/>
      <c r="BJ31" s="94"/>
      <c r="BK31" s="97"/>
      <c r="BL31" s="93"/>
      <c r="BM31" s="94"/>
      <c r="BN31" s="95"/>
      <c r="BO31" s="96"/>
      <c r="BP31" s="94"/>
      <c r="BQ31" s="95"/>
      <c r="BR31" s="96"/>
      <c r="BS31" s="94"/>
      <c r="BT31" s="95"/>
      <c r="BU31" s="96"/>
      <c r="BV31" s="94"/>
      <c r="BW31" s="97"/>
      <c r="BX31" s="93"/>
      <c r="BY31" s="94"/>
      <c r="BZ31" s="95"/>
      <c r="CA31" s="96"/>
      <c r="CB31" s="94"/>
      <c r="CC31" s="95"/>
      <c r="CD31" s="96"/>
      <c r="CE31" s="94"/>
      <c r="CF31" s="95"/>
      <c r="CG31" s="96"/>
      <c r="CH31" s="94"/>
      <c r="CI31" s="97"/>
      <c r="CJ31" s="93"/>
      <c r="CK31" s="94"/>
      <c r="CL31" s="95"/>
      <c r="CM31" s="96"/>
      <c r="CN31" s="94"/>
      <c r="CO31" s="95"/>
      <c r="CP31" s="96"/>
      <c r="CQ31" s="94"/>
      <c r="CR31" s="95"/>
      <c r="CS31" s="96"/>
      <c r="CT31" s="94"/>
      <c r="CU31" s="97"/>
      <c r="CV31" s="93"/>
      <c r="CW31" s="94"/>
      <c r="CX31" s="95"/>
      <c r="CY31" s="96"/>
      <c r="CZ31" s="94"/>
      <c r="DA31" s="95"/>
      <c r="DB31" s="96"/>
      <c r="DC31" s="94"/>
      <c r="DD31" s="95"/>
      <c r="DE31" s="96"/>
      <c r="DF31" s="94"/>
      <c r="DG31" s="97"/>
      <c r="DH31" s="93"/>
      <c r="DI31" s="94"/>
      <c r="DJ31" s="95"/>
      <c r="DK31" s="96"/>
      <c r="DL31" s="94"/>
      <c r="DM31" s="95"/>
      <c r="DN31" s="96"/>
      <c r="DO31" s="94"/>
      <c r="DP31" s="95"/>
      <c r="DQ31" s="96"/>
      <c r="DR31" s="94"/>
      <c r="DS31" s="97"/>
      <c r="DT31" s="93"/>
      <c r="DU31" s="94"/>
      <c r="DV31" s="95"/>
      <c r="DW31" s="96"/>
      <c r="DX31" s="94"/>
      <c r="DY31" s="95"/>
      <c r="DZ31" s="96"/>
      <c r="EA31" s="94"/>
      <c r="EB31" s="95"/>
      <c r="EC31" s="96"/>
      <c r="ED31" s="94"/>
      <c r="EE31" s="97"/>
      <c r="EF31" s="93"/>
      <c r="EG31" s="94"/>
      <c r="EH31" s="95"/>
      <c r="EI31" s="96"/>
      <c r="EJ31" s="94"/>
      <c r="EK31" s="95"/>
      <c r="EL31" s="96"/>
      <c r="EM31" s="94"/>
      <c r="EN31" s="95"/>
      <c r="EO31" s="96"/>
      <c r="EP31" s="94"/>
      <c r="EQ31" s="97"/>
      <c r="ER31" s="93"/>
      <c r="ES31" s="94"/>
      <c r="ET31" s="95"/>
      <c r="EU31" s="96"/>
      <c r="EV31" s="94"/>
      <c r="EW31" s="95"/>
      <c r="EX31" s="96"/>
      <c r="EY31" s="94"/>
      <c r="EZ31" s="95"/>
      <c r="FA31" s="96"/>
      <c r="FB31" s="94"/>
      <c r="FC31" s="97"/>
      <c r="FD31" s="93"/>
      <c r="FE31" s="94"/>
      <c r="FF31" s="95"/>
      <c r="FG31" s="96"/>
      <c r="FH31" s="94"/>
      <c r="FI31" s="95"/>
      <c r="FJ31" s="96"/>
      <c r="FK31" s="94"/>
      <c r="FL31" s="95"/>
      <c r="FM31" s="96"/>
      <c r="FN31" s="94"/>
      <c r="FO31" s="97"/>
      <c r="FP31" s="93"/>
      <c r="FQ31" s="94"/>
      <c r="FR31" s="95"/>
      <c r="FS31" s="96"/>
      <c r="FT31" s="94"/>
      <c r="FU31" s="95"/>
      <c r="FV31" s="96"/>
      <c r="FW31" s="94"/>
      <c r="FX31" s="95"/>
      <c r="FY31" s="96"/>
      <c r="FZ31" s="94"/>
      <c r="GA31" s="97"/>
      <c r="GB31" s="93"/>
      <c r="GC31" s="94"/>
      <c r="GD31" s="95"/>
      <c r="GE31" s="96"/>
      <c r="GF31" s="94"/>
      <c r="GG31" s="95"/>
      <c r="GH31" s="96"/>
      <c r="GI31" s="94"/>
      <c r="GJ31" s="95"/>
      <c r="GK31" s="96"/>
      <c r="GL31" s="94"/>
      <c r="GM31" s="97"/>
    </row>
    <row r="32" spans="2:195" ht="19.5" customHeight="1" thickBot="1" x14ac:dyDescent="0.3">
      <c r="B32" s="131"/>
      <c r="C32" s="104">
        <v>0</v>
      </c>
      <c r="D32" s="98"/>
      <c r="E32" s="99"/>
      <c r="F32" s="100"/>
      <c r="G32" s="101"/>
      <c r="H32" s="99"/>
      <c r="I32" s="100"/>
      <c r="J32" s="101"/>
      <c r="K32" s="99"/>
      <c r="L32" s="100"/>
      <c r="M32" s="101"/>
      <c r="N32" s="99"/>
      <c r="O32" s="102"/>
      <c r="P32" s="98"/>
      <c r="Q32" s="99"/>
      <c r="R32" s="100"/>
      <c r="S32" s="101"/>
      <c r="T32" s="99"/>
      <c r="U32" s="100"/>
      <c r="V32" s="101"/>
      <c r="W32" s="99"/>
      <c r="X32" s="100"/>
      <c r="Y32" s="101"/>
      <c r="Z32" s="99"/>
      <c r="AA32" s="102"/>
      <c r="AB32" s="98"/>
      <c r="AC32" s="99"/>
      <c r="AD32" s="100"/>
      <c r="AE32" s="101"/>
      <c r="AF32" s="99"/>
      <c r="AG32" s="100"/>
      <c r="AH32" s="101"/>
      <c r="AI32" s="99"/>
      <c r="AJ32" s="100"/>
      <c r="AK32" s="101"/>
      <c r="AL32" s="99"/>
      <c r="AM32" s="102"/>
      <c r="AN32" s="98"/>
      <c r="AO32" s="99"/>
      <c r="AP32" s="100"/>
      <c r="AQ32" s="101"/>
      <c r="AR32" s="99"/>
      <c r="AS32" s="100"/>
      <c r="AT32" s="101"/>
      <c r="AU32" s="99"/>
      <c r="AV32" s="100"/>
      <c r="AW32" s="101"/>
      <c r="AX32" s="99"/>
      <c r="AY32" s="102"/>
      <c r="AZ32" s="98"/>
      <c r="BA32" s="99"/>
      <c r="BB32" s="100"/>
      <c r="BC32" s="101"/>
      <c r="BD32" s="99"/>
      <c r="BE32" s="100"/>
      <c r="BF32" s="101"/>
      <c r="BG32" s="99"/>
      <c r="BH32" s="100"/>
      <c r="BI32" s="101"/>
      <c r="BJ32" s="99"/>
      <c r="BK32" s="102"/>
      <c r="BL32" s="98"/>
      <c r="BM32" s="99"/>
      <c r="BN32" s="100"/>
      <c r="BO32" s="101"/>
      <c r="BP32" s="99"/>
      <c r="BQ32" s="100"/>
      <c r="BR32" s="101"/>
      <c r="BS32" s="99"/>
      <c r="BT32" s="100"/>
      <c r="BU32" s="101"/>
      <c r="BV32" s="99"/>
      <c r="BW32" s="102"/>
      <c r="BX32" s="98"/>
      <c r="BY32" s="99"/>
      <c r="BZ32" s="100"/>
      <c r="CA32" s="101"/>
      <c r="CB32" s="99"/>
      <c r="CC32" s="100"/>
      <c r="CD32" s="101"/>
      <c r="CE32" s="99"/>
      <c r="CF32" s="100"/>
      <c r="CG32" s="101"/>
      <c r="CH32" s="99"/>
      <c r="CI32" s="102"/>
      <c r="CJ32" s="98"/>
      <c r="CK32" s="99"/>
      <c r="CL32" s="100"/>
      <c r="CM32" s="101"/>
      <c r="CN32" s="99"/>
      <c r="CO32" s="100"/>
      <c r="CP32" s="101"/>
      <c r="CQ32" s="99"/>
      <c r="CR32" s="100"/>
      <c r="CS32" s="101"/>
      <c r="CT32" s="99"/>
      <c r="CU32" s="102"/>
      <c r="CV32" s="98"/>
      <c r="CW32" s="99"/>
      <c r="CX32" s="100"/>
      <c r="CY32" s="101"/>
      <c r="CZ32" s="99"/>
      <c r="DA32" s="100"/>
      <c r="DB32" s="101"/>
      <c r="DC32" s="99"/>
      <c r="DD32" s="100"/>
      <c r="DE32" s="101"/>
      <c r="DF32" s="99"/>
      <c r="DG32" s="102"/>
      <c r="DH32" s="98"/>
      <c r="DI32" s="99"/>
      <c r="DJ32" s="100"/>
      <c r="DK32" s="101"/>
      <c r="DL32" s="99"/>
      <c r="DM32" s="100"/>
      <c r="DN32" s="101"/>
      <c r="DO32" s="99"/>
      <c r="DP32" s="100"/>
      <c r="DQ32" s="101"/>
      <c r="DR32" s="99"/>
      <c r="DS32" s="102"/>
      <c r="DT32" s="98"/>
      <c r="DU32" s="99"/>
      <c r="DV32" s="100"/>
      <c r="DW32" s="101"/>
      <c r="DX32" s="99"/>
      <c r="DY32" s="100"/>
      <c r="DZ32" s="101"/>
      <c r="EA32" s="99"/>
      <c r="EB32" s="100"/>
      <c r="EC32" s="101"/>
      <c r="ED32" s="99"/>
      <c r="EE32" s="102"/>
      <c r="EF32" s="98"/>
      <c r="EG32" s="99"/>
      <c r="EH32" s="100"/>
      <c r="EI32" s="101"/>
      <c r="EJ32" s="99"/>
      <c r="EK32" s="100"/>
      <c r="EL32" s="101"/>
      <c r="EM32" s="99"/>
      <c r="EN32" s="100"/>
      <c r="EO32" s="101"/>
      <c r="EP32" s="99"/>
      <c r="EQ32" s="102"/>
      <c r="ER32" s="98"/>
      <c r="ES32" s="99"/>
      <c r="ET32" s="100"/>
      <c r="EU32" s="101"/>
      <c r="EV32" s="99"/>
      <c r="EW32" s="100"/>
      <c r="EX32" s="101"/>
      <c r="EY32" s="99"/>
      <c r="EZ32" s="100"/>
      <c r="FA32" s="101"/>
      <c r="FB32" s="99"/>
      <c r="FC32" s="102"/>
      <c r="FD32" s="98"/>
      <c r="FE32" s="99"/>
      <c r="FF32" s="100"/>
      <c r="FG32" s="101"/>
      <c r="FH32" s="99"/>
      <c r="FI32" s="100"/>
      <c r="FJ32" s="101"/>
      <c r="FK32" s="99"/>
      <c r="FL32" s="100"/>
      <c r="FM32" s="101"/>
      <c r="FN32" s="99"/>
      <c r="FO32" s="102"/>
      <c r="FP32" s="98"/>
      <c r="FQ32" s="99"/>
      <c r="FR32" s="100"/>
      <c r="FS32" s="101"/>
      <c r="FT32" s="99"/>
      <c r="FU32" s="100"/>
      <c r="FV32" s="101"/>
      <c r="FW32" s="99"/>
      <c r="FX32" s="100"/>
      <c r="FY32" s="101"/>
      <c r="FZ32" s="99"/>
      <c r="GA32" s="102"/>
      <c r="GB32" s="98"/>
      <c r="GC32" s="99"/>
      <c r="GD32" s="100"/>
      <c r="GE32" s="101"/>
      <c r="GF32" s="99"/>
      <c r="GG32" s="100"/>
      <c r="GH32" s="101"/>
      <c r="GI32" s="99"/>
      <c r="GJ32" s="100"/>
      <c r="GK32" s="101"/>
      <c r="GL32" s="99"/>
      <c r="GM32" s="102"/>
    </row>
    <row r="33" spans="2:195" ht="19.5" customHeight="1" x14ac:dyDescent="0.25">
      <c r="B33" s="130" t="str">
        <f>Donnees!$C$35</f>
        <v>Menu-Tests</v>
      </c>
      <c r="C33" s="103">
        <v>0</v>
      </c>
      <c r="D33" s="93"/>
      <c r="E33" s="94"/>
      <c r="F33" s="95"/>
      <c r="G33" s="96"/>
      <c r="H33" s="94"/>
      <c r="I33" s="95"/>
      <c r="J33" s="96"/>
      <c r="K33" s="94"/>
      <c r="L33" s="95"/>
      <c r="M33" s="96"/>
      <c r="N33" s="94"/>
      <c r="O33" s="97"/>
      <c r="P33" s="93"/>
      <c r="Q33" s="94"/>
      <c r="R33" s="95"/>
      <c r="S33" s="96"/>
      <c r="T33" s="94"/>
      <c r="U33" s="95"/>
      <c r="V33" s="96"/>
      <c r="W33" s="94"/>
      <c r="X33" s="95"/>
      <c r="Y33" s="96"/>
      <c r="Z33" s="94"/>
      <c r="AA33" s="97"/>
      <c r="AB33" s="93"/>
      <c r="AC33" s="94"/>
      <c r="AD33" s="95"/>
      <c r="AE33" s="96"/>
      <c r="AF33" s="94"/>
      <c r="AG33" s="95"/>
      <c r="AH33" s="96"/>
      <c r="AI33" s="94"/>
      <c r="AJ33" s="95"/>
      <c r="AK33" s="96"/>
      <c r="AL33" s="94"/>
      <c r="AM33" s="97"/>
      <c r="AN33" s="93"/>
      <c r="AO33" s="94"/>
      <c r="AP33" s="95"/>
      <c r="AQ33" s="96"/>
      <c r="AR33" s="94"/>
      <c r="AS33" s="95"/>
      <c r="AT33" s="96"/>
      <c r="AU33" s="94"/>
      <c r="AV33" s="95"/>
      <c r="AW33" s="96"/>
      <c r="AX33" s="94"/>
      <c r="AY33" s="97"/>
      <c r="AZ33" s="93"/>
      <c r="BA33" s="94"/>
      <c r="BB33" s="95"/>
      <c r="BC33" s="96"/>
      <c r="BD33" s="94"/>
      <c r="BE33" s="95"/>
      <c r="BF33" s="96"/>
      <c r="BG33" s="94"/>
      <c r="BH33" s="95"/>
      <c r="BI33" s="96"/>
      <c r="BJ33" s="94"/>
      <c r="BK33" s="97"/>
      <c r="BL33" s="93"/>
      <c r="BM33" s="94"/>
      <c r="BN33" s="95"/>
      <c r="BO33" s="96"/>
      <c r="BP33" s="94"/>
      <c r="BQ33" s="95"/>
      <c r="BR33" s="96"/>
      <c r="BS33" s="94"/>
      <c r="BT33" s="95"/>
      <c r="BU33" s="96"/>
      <c r="BV33" s="94"/>
      <c r="BW33" s="97"/>
      <c r="BX33" s="93"/>
      <c r="BY33" s="94"/>
      <c r="BZ33" s="95"/>
      <c r="CA33" s="96"/>
      <c r="CB33" s="94"/>
      <c r="CC33" s="95"/>
      <c r="CD33" s="96"/>
      <c r="CE33" s="94"/>
      <c r="CF33" s="95"/>
      <c r="CG33" s="96"/>
      <c r="CH33" s="94"/>
      <c r="CI33" s="97"/>
      <c r="CJ33" s="93"/>
      <c r="CK33" s="94"/>
      <c r="CL33" s="95"/>
      <c r="CM33" s="96"/>
      <c r="CN33" s="94"/>
      <c r="CO33" s="95"/>
      <c r="CP33" s="96"/>
      <c r="CQ33" s="94"/>
      <c r="CR33" s="95"/>
      <c r="CS33" s="96"/>
      <c r="CT33" s="94"/>
      <c r="CU33" s="97"/>
      <c r="CV33" s="93"/>
      <c r="CW33" s="94"/>
      <c r="CX33" s="95"/>
      <c r="CY33" s="96"/>
      <c r="CZ33" s="94"/>
      <c r="DA33" s="95"/>
      <c r="DB33" s="96"/>
      <c r="DC33" s="94"/>
      <c r="DD33" s="95"/>
      <c r="DE33" s="96"/>
      <c r="DF33" s="94"/>
      <c r="DG33" s="97"/>
      <c r="DH33" s="93"/>
      <c r="DI33" s="94"/>
      <c r="DJ33" s="95"/>
      <c r="DK33" s="96"/>
      <c r="DL33" s="94"/>
      <c r="DM33" s="95"/>
      <c r="DN33" s="96"/>
      <c r="DO33" s="94"/>
      <c r="DP33" s="95"/>
      <c r="DQ33" s="96"/>
      <c r="DR33" s="94"/>
      <c r="DS33" s="97"/>
      <c r="DT33" s="93"/>
      <c r="DU33" s="94"/>
      <c r="DV33" s="95"/>
      <c r="DW33" s="96"/>
      <c r="DX33" s="94"/>
      <c r="DY33" s="95"/>
      <c r="DZ33" s="96"/>
      <c r="EA33" s="94"/>
      <c r="EB33" s="95"/>
      <c r="EC33" s="96"/>
      <c r="ED33" s="94"/>
      <c r="EE33" s="97"/>
      <c r="EF33" s="93"/>
      <c r="EG33" s="94"/>
      <c r="EH33" s="95"/>
      <c r="EI33" s="96"/>
      <c r="EJ33" s="94"/>
      <c r="EK33" s="95"/>
      <c r="EL33" s="96"/>
      <c r="EM33" s="94"/>
      <c r="EN33" s="95"/>
      <c r="EO33" s="96"/>
      <c r="EP33" s="94"/>
      <c r="EQ33" s="97"/>
      <c r="ER33" s="93"/>
      <c r="ES33" s="94"/>
      <c r="ET33" s="95"/>
      <c r="EU33" s="96"/>
      <c r="EV33" s="94"/>
      <c r="EW33" s="95"/>
      <c r="EX33" s="96"/>
      <c r="EY33" s="94"/>
      <c r="EZ33" s="95"/>
      <c r="FA33" s="96"/>
      <c r="FB33" s="94"/>
      <c r="FC33" s="97"/>
      <c r="FD33" s="93"/>
      <c r="FE33" s="94"/>
      <c r="FF33" s="95"/>
      <c r="FG33" s="96"/>
      <c r="FH33" s="94"/>
      <c r="FI33" s="95"/>
      <c r="FJ33" s="96"/>
      <c r="FK33" s="94"/>
      <c r="FL33" s="95"/>
      <c r="FM33" s="96"/>
      <c r="FN33" s="94"/>
      <c r="FO33" s="97"/>
      <c r="FP33" s="93"/>
      <c r="FQ33" s="94"/>
      <c r="FR33" s="95"/>
      <c r="FS33" s="96"/>
      <c r="FT33" s="94"/>
      <c r="FU33" s="95"/>
      <c r="FV33" s="96"/>
      <c r="FW33" s="94"/>
      <c r="FX33" s="95"/>
      <c r="FY33" s="96"/>
      <c r="FZ33" s="94"/>
      <c r="GA33" s="97"/>
      <c r="GB33" s="93"/>
      <c r="GC33" s="94"/>
      <c r="GD33" s="95"/>
      <c r="GE33" s="96"/>
      <c r="GF33" s="94"/>
      <c r="GG33" s="95"/>
      <c r="GH33" s="96"/>
      <c r="GI33" s="94"/>
      <c r="GJ33" s="95"/>
      <c r="GK33" s="96"/>
      <c r="GL33" s="94"/>
      <c r="GM33" s="97"/>
    </row>
    <row r="34" spans="2:195" ht="19.5" customHeight="1" thickBot="1" x14ac:dyDescent="0.3">
      <c r="B34" s="131"/>
      <c r="C34" s="104">
        <v>0</v>
      </c>
      <c r="D34" s="98"/>
      <c r="E34" s="99"/>
      <c r="F34" s="100"/>
      <c r="G34" s="101"/>
      <c r="H34" s="99"/>
      <c r="I34" s="100"/>
      <c r="J34" s="101"/>
      <c r="K34" s="99"/>
      <c r="L34" s="100"/>
      <c r="M34" s="101"/>
      <c r="N34" s="99"/>
      <c r="O34" s="102"/>
      <c r="P34" s="98"/>
      <c r="Q34" s="99"/>
      <c r="R34" s="100"/>
      <c r="S34" s="101"/>
      <c r="T34" s="99"/>
      <c r="U34" s="100"/>
      <c r="V34" s="101"/>
      <c r="W34" s="99"/>
      <c r="X34" s="100"/>
      <c r="Y34" s="101"/>
      <c r="Z34" s="99"/>
      <c r="AA34" s="102"/>
      <c r="AB34" s="98"/>
      <c r="AC34" s="99"/>
      <c r="AD34" s="100"/>
      <c r="AE34" s="101"/>
      <c r="AF34" s="99"/>
      <c r="AG34" s="100"/>
      <c r="AH34" s="101"/>
      <c r="AI34" s="99"/>
      <c r="AJ34" s="100"/>
      <c r="AK34" s="101"/>
      <c r="AL34" s="99"/>
      <c r="AM34" s="102"/>
      <c r="AN34" s="98"/>
      <c r="AO34" s="99"/>
      <c r="AP34" s="100"/>
      <c r="AQ34" s="101"/>
      <c r="AR34" s="99"/>
      <c r="AS34" s="100"/>
      <c r="AT34" s="101"/>
      <c r="AU34" s="99"/>
      <c r="AV34" s="100"/>
      <c r="AW34" s="101"/>
      <c r="AX34" s="99"/>
      <c r="AY34" s="102"/>
      <c r="AZ34" s="98"/>
      <c r="BA34" s="99"/>
      <c r="BB34" s="100"/>
      <c r="BC34" s="101"/>
      <c r="BD34" s="99"/>
      <c r="BE34" s="100"/>
      <c r="BF34" s="101"/>
      <c r="BG34" s="99"/>
      <c r="BH34" s="100"/>
      <c r="BI34" s="101"/>
      <c r="BJ34" s="99"/>
      <c r="BK34" s="102"/>
      <c r="BL34" s="98"/>
      <c r="BM34" s="99"/>
      <c r="BN34" s="100"/>
      <c r="BO34" s="101"/>
      <c r="BP34" s="99"/>
      <c r="BQ34" s="100"/>
      <c r="BR34" s="101"/>
      <c r="BS34" s="99"/>
      <c r="BT34" s="100"/>
      <c r="BU34" s="101"/>
      <c r="BV34" s="99"/>
      <c r="BW34" s="102"/>
      <c r="BX34" s="98"/>
      <c r="BY34" s="99"/>
      <c r="BZ34" s="100"/>
      <c r="CA34" s="101"/>
      <c r="CB34" s="99"/>
      <c r="CC34" s="100"/>
      <c r="CD34" s="101"/>
      <c r="CE34" s="99"/>
      <c r="CF34" s="100"/>
      <c r="CG34" s="101"/>
      <c r="CH34" s="99"/>
      <c r="CI34" s="102"/>
      <c r="CJ34" s="98"/>
      <c r="CK34" s="99"/>
      <c r="CL34" s="100"/>
      <c r="CM34" s="101"/>
      <c r="CN34" s="99"/>
      <c r="CO34" s="100"/>
      <c r="CP34" s="101"/>
      <c r="CQ34" s="99"/>
      <c r="CR34" s="100"/>
      <c r="CS34" s="101"/>
      <c r="CT34" s="99"/>
      <c r="CU34" s="102"/>
      <c r="CV34" s="98"/>
      <c r="CW34" s="99"/>
      <c r="CX34" s="100"/>
      <c r="CY34" s="101"/>
      <c r="CZ34" s="99"/>
      <c r="DA34" s="100"/>
      <c r="DB34" s="101"/>
      <c r="DC34" s="99"/>
      <c r="DD34" s="100"/>
      <c r="DE34" s="101"/>
      <c r="DF34" s="99"/>
      <c r="DG34" s="102"/>
      <c r="DH34" s="98"/>
      <c r="DI34" s="99"/>
      <c r="DJ34" s="100"/>
      <c r="DK34" s="101"/>
      <c r="DL34" s="99"/>
      <c r="DM34" s="100"/>
      <c r="DN34" s="101"/>
      <c r="DO34" s="99"/>
      <c r="DP34" s="100"/>
      <c r="DQ34" s="101"/>
      <c r="DR34" s="99"/>
      <c r="DS34" s="102"/>
      <c r="DT34" s="98"/>
      <c r="DU34" s="99"/>
      <c r="DV34" s="100"/>
      <c r="DW34" s="101"/>
      <c r="DX34" s="99"/>
      <c r="DY34" s="100"/>
      <c r="DZ34" s="101"/>
      <c r="EA34" s="99"/>
      <c r="EB34" s="100"/>
      <c r="EC34" s="101"/>
      <c r="ED34" s="99"/>
      <c r="EE34" s="102"/>
      <c r="EF34" s="98"/>
      <c r="EG34" s="99"/>
      <c r="EH34" s="100"/>
      <c r="EI34" s="101"/>
      <c r="EJ34" s="99"/>
      <c r="EK34" s="100"/>
      <c r="EL34" s="101"/>
      <c r="EM34" s="99"/>
      <c r="EN34" s="100"/>
      <c r="EO34" s="101"/>
      <c r="EP34" s="99"/>
      <c r="EQ34" s="102"/>
      <c r="ER34" s="98"/>
      <c r="ES34" s="99"/>
      <c r="ET34" s="100"/>
      <c r="EU34" s="101"/>
      <c r="EV34" s="99"/>
      <c r="EW34" s="100"/>
      <c r="EX34" s="101"/>
      <c r="EY34" s="99"/>
      <c r="EZ34" s="100"/>
      <c r="FA34" s="101"/>
      <c r="FB34" s="99"/>
      <c r="FC34" s="102"/>
      <c r="FD34" s="98"/>
      <c r="FE34" s="99"/>
      <c r="FF34" s="100"/>
      <c r="FG34" s="101"/>
      <c r="FH34" s="99"/>
      <c r="FI34" s="100"/>
      <c r="FJ34" s="101"/>
      <c r="FK34" s="99"/>
      <c r="FL34" s="100"/>
      <c r="FM34" s="101"/>
      <c r="FN34" s="99"/>
      <c r="FO34" s="102"/>
      <c r="FP34" s="98"/>
      <c r="FQ34" s="99"/>
      <c r="FR34" s="100"/>
      <c r="FS34" s="101"/>
      <c r="FT34" s="99"/>
      <c r="FU34" s="100"/>
      <c r="FV34" s="101"/>
      <c r="FW34" s="99"/>
      <c r="FX34" s="100"/>
      <c r="FY34" s="101"/>
      <c r="FZ34" s="99"/>
      <c r="GA34" s="102"/>
      <c r="GB34" s="98"/>
      <c r="GC34" s="99"/>
      <c r="GD34" s="100"/>
      <c r="GE34" s="101"/>
      <c r="GF34" s="99"/>
      <c r="GG34" s="100"/>
      <c r="GH34" s="101"/>
      <c r="GI34" s="99"/>
      <c r="GJ34" s="100"/>
      <c r="GK34" s="101"/>
      <c r="GL34" s="99"/>
      <c r="GM34" s="102"/>
    </row>
    <row r="35" spans="2:195" ht="19.5" customHeight="1" x14ac:dyDescent="0.25">
      <c r="B35" s="130" t="str">
        <f>Donnees!$C$36</f>
        <v>Vaisseau-Tests</v>
      </c>
      <c r="C35" s="103">
        <v>0</v>
      </c>
      <c r="D35" s="93"/>
      <c r="E35" s="94"/>
      <c r="F35" s="95"/>
      <c r="G35" s="96"/>
      <c r="H35" s="94"/>
      <c r="I35" s="95"/>
      <c r="J35" s="96"/>
      <c r="K35" s="94"/>
      <c r="L35" s="95"/>
      <c r="M35" s="96"/>
      <c r="N35" s="94"/>
      <c r="O35" s="97"/>
      <c r="P35" s="93"/>
      <c r="Q35" s="94"/>
      <c r="R35" s="95"/>
      <c r="S35" s="96"/>
      <c r="T35" s="94"/>
      <c r="U35" s="95"/>
      <c r="V35" s="96"/>
      <c r="W35" s="94"/>
      <c r="X35" s="95"/>
      <c r="Y35" s="96"/>
      <c r="Z35" s="94"/>
      <c r="AA35" s="97"/>
      <c r="AB35" s="93"/>
      <c r="AC35" s="94"/>
      <c r="AD35" s="95"/>
      <c r="AE35" s="96"/>
      <c r="AF35" s="94"/>
      <c r="AG35" s="95"/>
      <c r="AH35" s="96"/>
      <c r="AI35" s="94"/>
      <c r="AJ35" s="95"/>
      <c r="AK35" s="96"/>
      <c r="AL35" s="94"/>
      <c r="AM35" s="97"/>
      <c r="AN35" s="93"/>
      <c r="AO35" s="94"/>
      <c r="AP35" s="95"/>
      <c r="AQ35" s="96"/>
      <c r="AR35" s="94"/>
      <c r="AS35" s="95"/>
      <c r="AT35" s="96"/>
      <c r="AU35" s="94"/>
      <c r="AV35" s="95"/>
      <c r="AW35" s="96"/>
      <c r="AX35" s="94"/>
      <c r="AY35" s="97"/>
      <c r="AZ35" s="93"/>
      <c r="BA35" s="94"/>
      <c r="BB35" s="95"/>
      <c r="BC35" s="96"/>
      <c r="BD35" s="94"/>
      <c r="BE35" s="95"/>
      <c r="BF35" s="96"/>
      <c r="BG35" s="94"/>
      <c r="BH35" s="95"/>
      <c r="BI35" s="96"/>
      <c r="BJ35" s="94"/>
      <c r="BK35" s="97"/>
      <c r="BL35" s="93"/>
      <c r="BM35" s="94"/>
      <c r="BN35" s="95"/>
      <c r="BO35" s="96"/>
      <c r="BP35" s="94"/>
      <c r="BQ35" s="95"/>
      <c r="BR35" s="96"/>
      <c r="BS35" s="94"/>
      <c r="BT35" s="95"/>
      <c r="BU35" s="96"/>
      <c r="BV35" s="94"/>
      <c r="BW35" s="97"/>
      <c r="BX35" s="93"/>
      <c r="BY35" s="94"/>
      <c r="BZ35" s="95"/>
      <c r="CA35" s="96"/>
      <c r="CB35" s="94"/>
      <c r="CC35" s="95"/>
      <c r="CD35" s="96"/>
      <c r="CE35" s="94"/>
      <c r="CF35" s="95"/>
      <c r="CG35" s="96"/>
      <c r="CH35" s="94"/>
      <c r="CI35" s="97"/>
      <c r="CJ35" s="93"/>
      <c r="CK35" s="94"/>
      <c r="CL35" s="95"/>
      <c r="CM35" s="96"/>
      <c r="CN35" s="94"/>
      <c r="CO35" s="95"/>
      <c r="CP35" s="96"/>
      <c r="CQ35" s="94"/>
      <c r="CR35" s="95"/>
      <c r="CS35" s="96"/>
      <c r="CT35" s="94"/>
      <c r="CU35" s="97"/>
      <c r="CV35" s="93"/>
      <c r="CW35" s="94"/>
      <c r="CX35" s="95"/>
      <c r="CY35" s="96"/>
      <c r="CZ35" s="94"/>
      <c r="DA35" s="95"/>
      <c r="DB35" s="96"/>
      <c r="DC35" s="94"/>
      <c r="DD35" s="95"/>
      <c r="DE35" s="96"/>
      <c r="DF35" s="94"/>
      <c r="DG35" s="97"/>
      <c r="DH35" s="93"/>
      <c r="DI35" s="94"/>
      <c r="DJ35" s="95"/>
      <c r="DK35" s="96"/>
      <c r="DL35" s="94"/>
      <c r="DM35" s="95"/>
      <c r="DN35" s="96"/>
      <c r="DO35" s="94"/>
      <c r="DP35" s="95"/>
      <c r="DQ35" s="96"/>
      <c r="DR35" s="94"/>
      <c r="DS35" s="97"/>
      <c r="DT35" s="93"/>
      <c r="DU35" s="94"/>
      <c r="DV35" s="95"/>
      <c r="DW35" s="96"/>
      <c r="DX35" s="94"/>
      <c r="DY35" s="95"/>
      <c r="DZ35" s="96"/>
      <c r="EA35" s="94"/>
      <c r="EB35" s="95"/>
      <c r="EC35" s="96"/>
      <c r="ED35" s="94"/>
      <c r="EE35" s="97"/>
      <c r="EF35" s="93"/>
      <c r="EG35" s="94"/>
      <c r="EH35" s="95"/>
      <c r="EI35" s="96"/>
      <c r="EJ35" s="94"/>
      <c r="EK35" s="95"/>
      <c r="EL35" s="96"/>
      <c r="EM35" s="94"/>
      <c r="EN35" s="95"/>
      <c r="EO35" s="96"/>
      <c r="EP35" s="94"/>
      <c r="EQ35" s="97"/>
      <c r="ER35" s="93"/>
      <c r="ES35" s="94"/>
      <c r="ET35" s="95"/>
      <c r="EU35" s="96"/>
      <c r="EV35" s="94"/>
      <c r="EW35" s="95"/>
      <c r="EX35" s="96"/>
      <c r="EY35" s="94"/>
      <c r="EZ35" s="95"/>
      <c r="FA35" s="96"/>
      <c r="FB35" s="94"/>
      <c r="FC35" s="97"/>
      <c r="FD35" s="93"/>
      <c r="FE35" s="94"/>
      <c r="FF35" s="95"/>
      <c r="FG35" s="96"/>
      <c r="FH35" s="94"/>
      <c r="FI35" s="95"/>
      <c r="FJ35" s="96"/>
      <c r="FK35" s="94"/>
      <c r="FL35" s="95"/>
      <c r="FM35" s="96"/>
      <c r="FN35" s="94"/>
      <c r="FO35" s="97"/>
      <c r="FP35" s="93"/>
      <c r="FQ35" s="94"/>
      <c r="FR35" s="95"/>
      <c r="FS35" s="96"/>
      <c r="FT35" s="94"/>
      <c r="FU35" s="95"/>
      <c r="FV35" s="96"/>
      <c r="FW35" s="94"/>
      <c r="FX35" s="95"/>
      <c r="FY35" s="96"/>
      <c r="FZ35" s="94"/>
      <c r="GA35" s="97"/>
      <c r="GB35" s="93"/>
      <c r="GC35" s="94"/>
      <c r="GD35" s="95"/>
      <c r="GE35" s="96"/>
      <c r="GF35" s="94"/>
      <c r="GG35" s="95"/>
      <c r="GH35" s="96"/>
      <c r="GI35" s="94"/>
      <c r="GJ35" s="95"/>
      <c r="GK35" s="96"/>
      <c r="GL35" s="94"/>
      <c r="GM35" s="97"/>
    </row>
    <row r="36" spans="2:195" ht="19.5" customHeight="1" thickBot="1" x14ac:dyDescent="0.3">
      <c r="B36" s="131"/>
      <c r="C36" s="104">
        <v>0</v>
      </c>
      <c r="D36" s="98"/>
      <c r="E36" s="99"/>
      <c r="F36" s="100"/>
      <c r="G36" s="101"/>
      <c r="H36" s="99"/>
      <c r="I36" s="100"/>
      <c r="J36" s="101"/>
      <c r="K36" s="99"/>
      <c r="L36" s="100"/>
      <c r="M36" s="101"/>
      <c r="N36" s="99"/>
      <c r="O36" s="102"/>
      <c r="P36" s="98"/>
      <c r="Q36" s="99"/>
      <c r="R36" s="100"/>
      <c r="S36" s="101"/>
      <c r="T36" s="99"/>
      <c r="U36" s="100"/>
      <c r="V36" s="101"/>
      <c r="W36" s="99"/>
      <c r="X36" s="100"/>
      <c r="Y36" s="101"/>
      <c r="Z36" s="99"/>
      <c r="AA36" s="102"/>
      <c r="AB36" s="98"/>
      <c r="AC36" s="99"/>
      <c r="AD36" s="100"/>
      <c r="AE36" s="101"/>
      <c r="AF36" s="99"/>
      <c r="AG36" s="100"/>
      <c r="AH36" s="101"/>
      <c r="AI36" s="99"/>
      <c r="AJ36" s="100"/>
      <c r="AK36" s="101"/>
      <c r="AL36" s="99"/>
      <c r="AM36" s="102"/>
      <c r="AN36" s="98"/>
      <c r="AO36" s="99"/>
      <c r="AP36" s="100"/>
      <c r="AQ36" s="101"/>
      <c r="AR36" s="99"/>
      <c r="AS36" s="100"/>
      <c r="AT36" s="101"/>
      <c r="AU36" s="99"/>
      <c r="AV36" s="100"/>
      <c r="AW36" s="101"/>
      <c r="AX36" s="99"/>
      <c r="AY36" s="102"/>
      <c r="AZ36" s="98"/>
      <c r="BA36" s="99"/>
      <c r="BB36" s="100"/>
      <c r="BC36" s="101"/>
      <c r="BD36" s="99"/>
      <c r="BE36" s="100"/>
      <c r="BF36" s="101"/>
      <c r="BG36" s="99"/>
      <c r="BH36" s="100"/>
      <c r="BI36" s="101"/>
      <c r="BJ36" s="99"/>
      <c r="BK36" s="102"/>
      <c r="BL36" s="98"/>
      <c r="BM36" s="99"/>
      <c r="BN36" s="100"/>
      <c r="BO36" s="101"/>
      <c r="BP36" s="99"/>
      <c r="BQ36" s="100"/>
      <c r="BR36" s="101"/>
      <c r="BS36" s="99"/>
      <c r="BT36" s="100"/>
      <c r="BU36" s="101"/>
      <c r="BV36" s="99"/>
      <c r="BW36" s="102"/>
      <c r="BX36" s="98"/>
      <c r="BY36" s="99"/>
      <c r="BZ36" s="100"/>
      <c r="CA36" s="101"/>
      <c r="CB36" s="99"/>
      <c r="CC36" s="100"/>
      <c r="CD36" s="101"/>
      <c r="CE36" s="99"/>
      <c r="CF36" s="100"/>
      <c r="CG36" s="101"/>
      <c r="CH36" s="99"/>
      <c r="CI36" s="102"/>
      <c r="CJ36" s="98"/>
      <c r="CK36" s="99"/>
      <c r="CL36" s="100"/>
      <c r="CM36" s="101"/>
      <c r="CN36" s="99"/>
      <c r="CO36" s="100"/>
      <c r="CP36" s="101"/>
      <c r="CQ36" s="99"/>
      <c r="CR36" s="100"/>
      <c r="CS36" s="101"/>
      <c r="CT36" s="99"/>
      <c r="CU36" s="102"/>
      <c r="CV36" s="98"/>
      <c r="CW36" s="99"/>
      <c r="CX36" s="100"/>
      <c r="CY36" s="101"/>
      <c r="CZ36" s="99"/>
      <c r="DA36" s="100"/>
      <c r="DB36" s="101"/>
      <c r="DC36" s="99"/>
      <c r="DD36" s="100"/>
      <c r="DE36" s="101"/>
      <c r="DF36" s="99"/>
      <c r="DG36" s="102"/>
      <c r="DH36" s="98"/>
      <c r="DI36" s="99"/>
      <c r="DJ36" s="100"/>
      <c r="DK36" s="101"/>
      <c r="DL36" s="99"/>
      <c r="DM36" s="100"/>
      <c r="DN36" s="101"/>
      <c r="DO36" s="99"/>
      <c r="DP36" s="100"/>
      <c r="DQ36" s="101"/>
      <c r="DR36" s="99"/>
      <c r="DS36" s="102"/>
      <c r="DT36" s="98"/>
      <c r="DU36" s="99"/>
      <c r="DV36" s="100"/>
      <c r="DW36" s="101"/>
      <c r="DX36" s="99"/>
      <c r="DY36" s="100"/>
      <c r="DZ36" s="101"/>
      <c r="EA36" s="99"/>
      <c r="EB36" s="100"/>
      <c r="EC36" s="101"/>
      <c r="ED36" s="99"/>
      <c r="EE36" s="102"/>
      <c r="EF36" s="98"/>
      <c r="EG36" s="99"/>
      <c r="EH36" s="100"/>
      <c r="EI36" s="101"/>
      <c r="EJ36" s="99"/>
      <c r="EK36" s="100"/>
      <c r="EL36" s="101"/>
      <c r="EM36" s="99"/>
      <c r="EN36" s="100"/>
      <c r="EO36" s="101"/>
      <c r="EP36" s="99"/>
      <c r="EQ36" s="102"/>
      <c r="ER36" s="98"/>
      <c r="ES36" s="99"/>
      <c r="ET36" s="100"/>
      <c r="EU36" s="101"/>
      <c r="EV36" s="99"/>
      <c r="EW36" s="100"/>
      <c r="EX36" s="101"/>
      <c r="EY36" s="99"/>
      <c r="EZ36" s="100"/>
      <c r="FA36" s="101"/>
      <c r="FB36" s="99"/>
      <c r="FC36" s="102"/>
      <c r="FD36" s="98"/>
      <c r="FE36" s="99"/>
      <c r="FF36" s="100"/>
      <c r="FG36" s="101"/>
      <c r="FH36" s="99"/>
      <c r="FI36" s="100"/>
      <c r="FJ36" s="101"/>
      <c r="FK36" s="99"/>
      <c r="FL36" s="100"/>
      <c r="FM36" s="101"/>
      <c r="FN36" s="99"/>
      <c r="FO36" s="102"/>
      <c r="FP36" s="98"/>
      <c r="FQ36" s="99"/>
      <c r="FR36" s="100"/>
      <c r="FS36" s="101"/>
      <c r="FT36" s="99"/>
      <c r="FU36" s="100"/>
      <c r="FV36" s="101"/>
      <c r="FW36" s="99"/>
      <c r="FX36" s="100"/>
      <c r="FY36" s="101"/>
      <c r="FZ36" s="99"/>
      <c r="GA36" s="102"/>
      <c r="GB36" s="98"/>
      <c r="GC36" s="99"/>
      <c r="GD36" s="100"/>
      <c r="GE36" s="101"/>
      <c r="GF36" s="99"/>
      <c r="GG36" s="100"/>
      <c r="GH36" s="101"/>
      <c r="GI36" s="99"/>
      <c r="GJ36" s="100"/>
      <c r="GK36" s="101"/>
      <c r="GL36" s="99"/>
      <c r="GM36" s="102"/>
    </row>
    <row r="37" spans="2:195" ht="19.5" customHeight="1" x14ac:dyDescent="0.25">
      <c r="B37" s="130" t="str">
        <f>Donnees!$C$37</f>
        <v>Ennemi-Tests</v>
      </c>
      <c r="C37" s="103">
        <v>0</v>
      </c>
      <c r="D37" s="93"/>
      <c r="E37" s="94"/>
      <c r="F37" s="95"/>
      <c r="G37" s="96"/>
      <c r="H37" s="94"/>
      <c r="I37" s="95"/>
      <c r="J37" s="96"/>
      <c r="K37" s="94"/>
      <c r="L37" s="95"/>
      <c r="M37" s="96"/>
      <c r="N37" s="94"/>
      <c r="O37" s="97"/>
      <c r="P37" s="93"/>
      <c r="Q37" s="94"/>
      <c r="R37" s="95"/>
      <c r="S37" s="96"/>
      <c r="T37" s="94"/>
      <c r="U37" s="95"/>
      <c r="V37" s="96"/>
      <c r="W37" s="94"/>
      <c r="X37" s="95"/>
      <c r="Y37" s="96"/>
      <c r="Z37" s="94"/>
      <c r="AA37" s="97"/>
      <c r="AB37" s="93"/>
      <c r="AC37" s="94"/>
      <c r="AD37" s="95"/>
      <c r="AE37" s="96"/>
      <c r="AF37" s="94"/>
      <c r="AG37" s="95"/>
      <c r="AH37" s="96"/>
      <c r="AI37" s="94"/>
      <c r="AJ37" s="95"/>
      <c r="AK37" s="96"/>
      <c r="AL37" s="94"/>
      <c r="AM37" s="97"/>
      <c r="AN37" s="93"/>
      <c r="AO37" s="94"/>
      <c r="AP37" s="95"/>
      <c r="AQ37" s="96"/>
      <c r="AR37" s="94"/>
      <c r="AS37" s="95"/>
      <c r="AT37" s="96"/>
      <c r="AU37" s="94"/>
      <c r="AV37" s="95"/>
      <c r="AW37" s="96"/>
      <c r="AX37" s="94"/>
      <c r="AY37" s="97"/>
      <c r="AZ37" s="93"/>
      <c r="BA37" s="94"/>
      <c r="BB37" s="95"/>
      <c r="BC37" s="96"/>
      <c r="BD37" s="94"/>
      <c r="BE37" s="95"/>
      <c r="BF37" s="96"/>
      <c r="BG37" s="94"/>
      <c r="BH37" s="95"/>
      <c r="BI37" s="96"/>
      <c r="BJ37" s="94"/>
      <c r="BK37" s="97"/>
      <c r="BL37" s="93"/>
      <c r="BM37" s="94"/>
      <c r="BN37" s="95"/>
      <c r="BO37" s="96"/>
      <c r="BP37" s="94"/>
      <c r="BQ37" s="95"/>
      <c r="BR37" s="96"/>
      <c r="BS37" s="94"/>
      <c r="BT37" s="95"/>
      <c r="BU37" s="96"/>
      <c r="BV37" s="94"/>
      <c r="BW37" s="97"/>
      <c r="BX37" s="93"/>
      <c r="BY37" s="94"/>
      <c r="BZ37" s="95"/>
      <c r="CA37" s="96"/>
      <c r="CB37" s="94"/>
      <c r="CC37" s="95"/>
      <c r="CD37" s="96"/>
      <c r="CE37" s="94"/>
      <c r="CF37" s="95"/>
      <c r="CG37" s="96"/>
      <c r="CH37" s="94"/>
      <c r="CI37" s="97"/>
      <c r="CJ37" s="93"/>
      <c r="CK37" s="94"/>
      <c r="CL37" s="95"/>
      <c r="CM37" s="96"/>
      <c r="CN37" s="94"/>
      <c r="CO37" s="95"/>
      <c r="CP37" s="96"/>
      <c r="CQ37" s="94"/>
      <c r="CR37" s="95"/>
      <c r="CS37" s="96"/>
      <c r="CT37" s="94"/>
      <c r="CU37" s="97"/>
      <c r="CV37" s="93"/>
      <c r="CW37" s="94"/>
      <c r="CX37" s="95"/>
      <c r="CY37" s="96"/>
      <c r="CZ37" s="94"/>
      <c r="DA37" s="95"/>
      <c r="DB37" s="96"/>
      <c r="DC37" s="94"/>
      <c r="DD37" s="95"/>
      <c r="DE37" s="96"/>
      <c r="DF37" s="94"/>
      <c r="DG37" s="97"/>
      <c r="DH37" s="93"/>
      <c r="DI37" s="94"/>
      <c r="DJ37" s="95"/>
      <c r="DK37" s="96"/>
      <c r="DL37" s="94"/>
      <c r="DM37" s="95"/>
      <c r="DN37" s="96"/>
      <c r="DO37" s="94"/>
      <c r="DP37" s="95"/>
      <c r="DQ37" s="96"/>
      <c r="DR37" s="94"/>
      <c r="DS37" s="97"/>
      <c r="DT37" s="93"/>
      <c r="DU37" s="94"/>
      <c r="DV37" s="95"/>
      <c r="DW37" s="96"/>
      <c r="DX37" s="94"/>
      <c r="DY37" s="95"/>
      <c r="DZ37" s="96"/>
      <c r="EA37" s="94"/>
      <c r="EB37" s="95"/>
      <c r="EC37" s="96"/>
      <c r="ED37" s="94"/>
      <c r="EE37" s="97"/>
      <c r="EF37" s="93"/>
      <c r="EG37" s="94"/>
      <c r="EH37" s="95"/>
      <c r="EI37" s="96"/>
      <c r="EJ37" s="94"/>
      <c r="EK37" s="95"/>
      <c r="EL37" s="96"/>
      <c r="EM37" s="94"/>
      <c r="EN37" s="95"/>
      <c r="EO37" s="96"/>
      <c r="EP37" s="94"/>
      <c r="EQ37" s="97"/>
      <c r="ER37" s="93"/>
      <c r="ES37" s="94"/>
      <c r="ET37" s="95"/>
      <c r="EU37" s="96"/>
      <c r="EV37" s="94"/>
      <c r="EW37" s="95"/>
      <c r="EX37" s="96"/>
      <c r="EY37" s="94"/>
      <c r="EZ37" s="95"/>
      <c r="FA37" s="96"/>
      <c r="FB37" s="94"/>
      <c r="FC37" s="97"/>
      <c r="FD37" s="93"/>
      <c r="FE37" s="94"/>
      <c r="FF37" s="95"/>
      <c r="FG37" s="96"/>
      <c r="FH37" s="94"/>
      <c r="FI37" s="95"/>
      <c r="FJ37" s="96"/>
      <c r="FK37" s="94"/>
      <c r="FL37" s="95"/>
      <c r="FM37" s="96"/>
      <c r="FN37" s="94"/>
      <c r="FO37" s="97"/>
      <c r="FP37" s="93"/>
      <c r="FQ37" s="94"/>
      <c r="FR37" s="95"/>
      <c r="FS37" s="96"/>
      <c r="FT37" s="94"/>
      <c r="FU37" s="95"/>
      <c r="FV37" s="96"/>
      <c r="FW37" s="94"/>
      <c r="FX37" s="95"/>
      <c r="FY37" s="96"/>
      <c r="FZ37" s="94"/>
      <c r="GA37" s="97"/>
      <c r="GB37" s="93"/>
      <c r="GC37" s="94"/>
      <c r="GD37" s="95"/>
      <c r="GE37" s="96"/>
      <c r="GF37" s="94"/>
      <c r="GG37" s="95"/>
      <c r="GH37" s="96"/>
      <c r="GI37" s="94"/>
      <c r="GJ37" s="95"/>
      <c r="GK37" s="96"/>
      <c r="GL37" s="94"/>
      <c r="GM37" s="97"/>
    </row>
    <row r="38" spans="2:195" ht="19.5" customHeight="1" thickBot="1" x14ac:dyDescent="0.3">
      <c r="B38" s="131"/>
      <c r="C38" s="104">
        <v>0</v>
      </c>
      <c r="D38" s="98"/>
      <c r="E38" s="99"/>
      <c r="F38" s="100"/>
      <c r="G38" s="101"/>
      <c r="H38" s="99"/>
      <c r="I38" s="100"/>
      <c r="J38" s="101"/>
      <c r="K38" s="99"/>
      <c r="L38" s="100"/>
      <c r="M38" s="101"/>
      <c r="N38" s="99"/>
      <c r="O38" s="102"/>
      <c r="P38" s="98"/>
      <c r="Q38" s="99"/>
      <c r="R38" s="100"/>
      <c r="S38" s="101"/>
      <c r="T38" s="99"/>
      <c r="U38" s="100"/>
      <c r="V38" s="101"/>
      <c r="W38" s="99"/>
      <c r="X38" s="100"/>
      <c r="Y38" s="101"/>
      <c r="Z38" s="99"/>
      <c r="AA38" s="102"/>
      <c r="AB38" s="98"/>
      <c r="AC38" s="99"/>
      <c r="AD38" s="100"/>
      <c r="AE38" s="101"/>
      <c r="AF38" s="99"/>
      <c r="AG38" s="100"/>
      <c r="AH38" s="101"/>
      <c r="AI38" s="99"/>
      <c r="AJ38" s="100"/>
      <c r="AK38" s="101"/>
      <c r="AL38" s="99"/>
      <c r="AM38" s="102"/>
      <c r="AN38" s="98"/>
      <c r="AO38" s="99"/>
      <c r="AP38" s="100"/>
      <c r="AQ38" s="101"/>
      <c r="AR38" s="99"/>
      <c r="AS38" s="100"/>
      <c r="AT38" s="101"/>
      <c r="AU38" s="99"/>
      <c r="AV38" s="100"/>
      <c r="AW38" s="101"/>
      <c r="AX38" s="99"/>
      <c r="AY38" s="102"/>
      <c r="AZ38" s="98"/>
      <c r="BA38" s="99"/>
      <c r="BB38" s="100"/>
      <c r="BC38" s="101"/>
      <c r="BD38" s="99"/>
      <c r="BE38" s="100"/>
      <c r="BF38" s="101"/>
      <c r="BG38" s="99"/>
      <c r="BH38" s="100"/>
      <c r="BI38" s="101"/>
      <c r="BJ38" s="99"/>
      <c r="BK38" s="102"/>
      <c r="BL38" s="98"/>
      <c r="BM38" s="99"/>
      <c r="BN38" s="100"/>
      <c r="BO38" s="101"/>
      <c r="BP38" s="99"/>
      <c r="BQ38" s="100"/>
      <c r="BR38" s="101"/>
      <c r="BS38" s="99"/>
      <c r="BT38" s="100"/>
      <c r="BU38" s="101"/>
      <c r="BV38" s="99"/>
      <c r="BW38" s="102"/>
      <c r="BX38" s="98"/>
      <c r="BY38" s="99"/>
      <c r="BZ38" s="100"/>
      <c r="CA38" s="101"/>
      <c r="CB38" s="99"/>
      <c r="CC38" s="100"/>
      <c r="CD38" s="101"/>
      <c r="CE38" s="99"/>
      <c r="CF38" s="100"/>
      <c r="CG38" s="101"/>
      <c r="CH38" s="99"/>
      <c r="CI38" s="102"/>
      <c r="CJ38" s="98"/>
      <c r="CK38" s="99"/>
      <c r="CL38" s="100"/>
      <c r="CM38" s="101"/>
      <c r="CN38" s="99"/>
      <c r="CO38" s="100"/>
      <c r="CP38" s="101"/>
      <c r="CQ38" s="99"/>
      <c r="CR38" s="100"/>
      <c r="CS38" s="101"/>
      <c r="CT38" s="99"/>
      <c r="CU38" s="102"/>
      <c r="CV38" s="98"/>
      <c r="CW38" s="99"/>
      <c r="CX38" s="100"/>
      <c r="CY38" s="101"/>
      <c r="CZ38" s="99"/>
      <c r="DA38" s="100"/>
      <c r="DB38" s="101"/>
      <c r="DC38" s="99"/>
      <c r="DD38" s="100"/>
      <c r="DE38" s="101"/>
      <c r="DF38" s="99"/>
      <c r="DG38" s="102"/>
      <c r="DH38" s="98"/>
      <c r="DI38" s="99"/>
      <c r="DJ38" s="100"/>
      <c r="DK38" s="101"/>
      <c r="DL38" s="99"/>
      <c r="DM38" s="100"/>
      <c r="DN38" s="101"/>
      <c r="DO38" s="99"/>
      <c r="DP38" s="100"/>
      <c r="DQ38" s="101"/>
      <c r="DR38" s="99"/>
      <c r="DS38" s="102"/>
      <c r="DT38" s="98"/>
      <c r="DU38" s="99"/>
      <c r="DV38" s="100"/>
      <c r="DW38" s="101"/>
      <c r="DX38" s="99"/>
      <c r="DY38" s="100"/>
      <c r="DZ38" s="101"/>
      <c r="EA38" s="99"/>
      <c r="EB38" s="100"/>
      <c r="EC38" s="101"/>
      <c r="ED38" s="99"/>
      <c r="EE38" s="102"/>
      <c r="EF38" s="98"/>
      <c r="EG38" s="99"/>
      <c r="EH38" s="100"/>
      <c r="EI38" s="101"/>
      <c r="EJ38" s="99"/>
      <c r="EK38" s="100"/>
      <c r="EL38" s="101"/>
      <c r="EM38" s="99"/>
      <c r="EN38" s="100"/>
      <c r="EO38" s="101"/>
      <c r="EP38" s="99"/>
      <c r="EQ38" s="102"/>
      <c r="ER38" s="98"/>
      <c r="ES38" s="99"/>
      <c r="ET38" s="100"/>
      <c r="EU38" s="101"/>
      <c r="EV38" s="99"/>
      <c r="EW38" s="100"/>
      <c r="EX38" s="101"/>
      <c r="EY38" s="99"/>
      <c r="EZ38" s="100"/>
      <c r="FA38" s="101"/>
      <c r="FB38" s="99"/>
      <c r="FC38" s="102"/>
      <c r="FD38" s="98"/>
      <c r="FE38" s="99"/>
      <c r="FF38" s="100"/>
      <c r="FG38" s="101"/>
      <c r="FH38" s="99"/>
      <c r="FI38" s="100"/>
      <c r="FJ38" s="101"/>
      <c r="FK38" s="99"/>
      <c r="FL38" s="100"/>
      <c r="FM38" s="101"/>
      <c r="FN38" s="99"/>
      <c r="FO38" s="102"/>
      <c r="FP38" s="98"/>
      <c r="FQ38" s="99"/>
      <c r="FR38" s="100"/>
      <c r="FS38" s="101"/>
      <c r="FT38" s="99"/>
      <c r="FU38" s="100"/>
      <c r="FV38" s="101"/>
      <c r="FW38" s="99"/>
      <c r="FX38" s="100"/>
      <c r="FY38" s="101"/>
      <c r="FZ38" s="99"/>
      <c r="GA38" s="102"/>
      <c r="GB38" s="98"/>
      <c r="GC38" s="99"/>
      <c r="GD38" s="100"/>
      <c r="GE38" s="101"/>
      <c r="GF38" s="99"/>
      <c r="GG38" s="100"/>
      <c r="GH38" s="101"/>
      <c r="GI38" s="99"/>
      <c r="GJ38" s="100"/>
      <c r="GK38" s="101"/>
      <c r="GL38" s="99"/>
      <c r="GM38" s="102"/>
    </row>
    <row r="39" spans="2:195" ht="19.5" customHeight="1" x14ac:dyDescent="0.25">
      <c r="B39" s="130" t="str">
        <f>Donnees!$C$38</f>
        <v>Ennemi-spécial(ovni)</v>
      </c>
      <c r="C39" s="103">
        <v>0</v>
      </c>
      <c r="D39" s="93"/>
      <c r="E39" s="94"/>
      <c r="F39" s="95"/>
      <c r="G39" s="96"/>
      <c r="H39" s="94"/>
      <c r="I39" s="95"/>
      <c r="J39" s="96"/>
      <c r="K39" s="94"/>
      <c r="L39" s="95"/>
      <c r="M39" s="96"/>
      <c r="N39" s="94"/>
      <c r="O39" s="97"/>
      <c r="P39" s="93"/>
      <c r="Q39" s="94"/>
      <c r="R39" s="95"/>
      <c r="S39" s="96"/>
      <c r="T39" s="94"/>
      <c r="U39" s="95"/>
      <c r="V39" s="96"/>
      <c r="W39" s="94"/>
      <c r="X39" s="95"/>
      <c r="Y39" s="96"/>
      <c r="Z39" s="94"/>
      <c r="AA39" s="97"/>
      <c r="AB39" s="93"/>
      <c r="AC39" s="94"/>
      <c r="AD39" s="95"/>
      <c r="AE39" s="96"/>
      <c r="AF39" s="94"/>
      <c r="AG39" s="95"/>
      <c r="AH39" s="96"/>
      <c r="AI39" s="94"/>
      <c r="AJ39" s="95"/>
      <c r="AK39" s="96"/>
      <c r="AL39" s="94"/>
      <c r="AM39" s="97"/>
      <c r="AN39" s="93"/>
      <c r="AO39" s="94"/>
      <c r="AP39" s="95"/>
      <c r="AQ39" s="96"/>
      <c r="AR39" s="94"/>
      <c r="AS39" s="95"/>
      <c r="AT39" s="96"/>
      <c r="AU39" s="94"/>
      <c r="AV39" s="95"/>
      <c r="AW39" s="96"/>
      <c r="AX39" s="94"/>
      <c r="AY39" s="97"/>
      <c r="AZ39" s="93"/>
      <c r="BA39" s="94"/>
      <c r="BB39" s="95"/>
      <c r="BC39" s="96"/>
      <c r="BD39" s="94"/>
      <c r="BE39" s="95"/>
      <c r="BF39" s="96"/>
      <c r="BG39" s="94"/>
      <c r="BH39" s="95"/>
      <c r="BI39" s="96"/>
      <c r="BJ39" s="94"/>
      <c r="BK39" s="97"/>
      <c r="BL39" s="93"/>
      <c r="BM39" s="94"/>
      <c r="BN39" s="95"/>
      <c r="BO39" s="96"/>
      <c r="BP39" s="94"/>
      <c r="BQ39" s="95"/>
      <c r="BR39" s="96"/>
      <c r="BS39" s="94"/>
      <c r="BT39" s="95"/>
      <c r="BU39" s="96"/>
      <c r="BV39" s="94"/>
      <c r="BW39" s="97"/>
      <c r="BX39" s="93"/>
      <c r="BY39" s="94"/>
      <c r="BZ39" s="95"/>
      <c r="CA39" s="96"/>
      <c r="CB39" s="94"/>
      <c r="CC39" s="95"/>
      <c r="CD39" s="96"/>
      <c r="CE39" s="94"/>
      <c r="CF39" s="95"/>
      <c r="CG39" s="96"/>
      <c r="CH39" s="94"/>
      <c r="CI39" s="97"/>
      <c r="CJ39" s="93"/>
      <c r="CK39" s="94"/>
      <c r="CL39" s="95"/>
      <c r="CM39" s="96"/>
      <c r="CN39" s="94"/>
      <c r="CO39" s="95"/>
      <c r="CP39" s="96"/>
      <c r="CQ39" s="94"/>
      <c r="CR39" s="95"/>
      <c r="CS39" s="96"/>
      <c r="CT39" s="94"/>
      <c r="CU39" s="97"/>
      <c r="CV39" s="93"/>
      <c r="CW39" s="94"/>
      <c r="CX39" s="95"/>
      <c r="CY39" s="96"/>
      <c r="CZ39" s="94"/>
      <c r="DA39" s="95"/>
      <c r="DB39" s="96"/>
      <c r="DC39" s="94"/>
      <c r="DD39" s="95"/>
      <c r="DE39" s="96"/>
      <c r="DF39" s="94"/>
      <c r="DG39" s="97"/>
      <c r="DH39" s="93"/>
      <c r="DI39" s="94"/>
      <c r="DJ39" s="95"/>
      <c r="DK39" s="96"/>
      <c r="DL39" s="94"/>
      <c r="DM39" s="95"/>
      <c r="DN39" s="96"/>
      <c r="DO39" s="94"/>
      <c r="DP39" s="95"/>
      <c r="DQ39" s="96"/>
      <c r="DR39" s="94"/>
      <c r="DS39" s="97"/>
      <c r="DT39" s="93"/>
      <c r="DU39" s="94"/>
      <c r="DV39" s="95"/>
      <c r="DW39" s="96"/>
      <c r="DX39" s="94"/>
      <c r="DY39" s="95"/>
      <c r="DZ39" s="96"/>
      <c r="EA39" s="94"/>
      <c r="EB39" s="95"/>
      <c r="EC39" s="96"/>
      <c r="ED39" s="94"/>
      <c r="EE39" s="97"/>
      <c r="EF39" s="93"/>
      <c r="EG39" s="94"/>
      <c r="EH39" s="95"/>
      <c r="EI39" s="96"/>
      <c r="EJ39" s="94"/>
      <c r="EK39" s="95"/>
      <c r="EL39" s="96"/>
      <c r="EM39" s="94"/>
      <c r="EN39" s="95"/>
      <c r="EO39" s="96"/>
      <c r="EP39" s="94"/>
      <c r="EQ39" s="97"/>
      <c r="ER39" s="93"/>
      <c r="ES39" s="94"/>
      <c r="ET39" s="95"/>
      <c r="EU39" s="96"/>
      <c r="EV39" s="94"/>
      <c r="EW39" s="95"/>
      <c r="EX39" s="96"/>
      <c r="EY39" s="94"/>
      <c r="EZ39" s="95"/>
      <c r="FA39" s="96"/>
      <c r="FB39" s="94"/>
      <c r="FC39" s="97"/>
      <c r="FD39" s="93"/>
      <c r="FE39" s="94"/>
      <c r="FF39" s="95"/>
      <c r="FG39" s="96"/>
      <c r="FH39" s="94"/>
      <c r="FI39" s="95"/>
      <c r="FJ39" s="96"/>
      <c r="FK39" s="94"/>
      <c r="FL39" s="95"/>
      <c r="FM39" s="96"/>
      <c r="FN39" s="94"/>
      <c r="FO39" s="97"/>
      <c r="FP39" s="93"/>
      <c r="FQ39" s="94"/>
      <c r="FR39" s="95"/>
      <c r="FS39" s="96"/>
      <c r="FT39" s="94"/>
      <c r="FU39" s="95"/>
      <c r="FV39" s="96"/>
      <c r="FW39" s="94"/>
      <c r="FX39" s="95"/>
      <c r="FY39" s="96"/>
      <c r="FZ39" s="94"/>
      <c r="GA39" s="97"/>
      <c r="GB39" s="93"/>
      <c r="GC39" s="94"/>
      <c r="GD39" s="95"/>
      <c r="GE39" s="96"/>
      <c r="GF39" s="94"/>
      <c r="GG39" s="95"/>
      <c r="GH39" s="96"/>
      <c r="GI39" s="94"/>
      <c r="GJ39" s="95"/>
      <c r="GK39" s="96"/>
      <c r="GL39" s="94"/>
      <c r="GM39" s="97"/>
    </row>
    <row r="40" spans="2:195" ht="19.5" customHeight="1" thickBot="1" x14ac:dyDescent="0.3">
      <c r="B40" s="131"/>
      <c r="C40" s="104">
        <v>0</v>
      </c>
      <c r="D40" s="98"/>
      <c r="E40" s="99"/>
      <c r="F40" s="100"/>
      <c r="G40" s="101"/>
      <c r="H40" s="99"/>
      <c r="I40" s="100"/>
      <c r="J40" s="101"/>
      <c r="K40" s="99"/>
      <c r="L40" s="100"/>
      <c r="M40" s="101"/>
      <c r="N40" s="99"/>
      <c r="O40" s="102"/>
      <c r="P40" s="98"/>
      <c r="Q40" s="99"/>
      <c r="R40" s="100"/>
      <c r="S40" s="101"/>
      <c r="T40" s="99"/>
      <c r="U40" s="100"/>
      <c r="V40" s="101"/>
      <c r="W40" s="99"/>
      <c r="X40" s="100"/>
      <c r="Y40" s="101"/>
      <c r="Z40" s="99"/>
      <c r="AA40" s="102"/>
      <c r="AB40" s="98"/>
      <c r="AC40" s="99"/>
      <c r="AD40" s="100"/>
      <c r="AE40" s="101"/>
      <c r="AF40" s="99"/>
      <c r="AG40" s="100"/>
      <c r="AH40" s="101"/>
      <c r="AI40" s="99"/>
      <c r="AJ40" s="100"/>
      <c r="AK40" s="101"/>
      <c r="AL40" s="99"/>
      <c r="AM40" s="102"/>
      <c r="AN40" s="98"/>
      <c r="AO40" s="99"/>
      <c r="AP40" s="100"/>
      <c r="AQ40" s="101"/>
      <c r="AR40" s="99"/>
      <c r="AS40" s="100"/>
      <c r="AT40" s="101"/>
      <c r="AU40" s="99"/>
      <c r="AV40" s="100"/>
      <c r="AW40" s="101"/>
      <c r="AX40" s="99"/>
      <c r="AY40" s="102"/>
      <c r="AZ40" s="98"/>
      <c r="BA40" s="99"/>
      <c r="BB40" s="100"/>
      <c r="BC40" s="101"/>
      <c r="BD40" s="99"/>
      <c r="BE40" s="100"/>
      <c r="BF40" s="101"/>
      <c r="BG40" s="99"/>
      <c r="BH40" s="100"/>
      <c r="BI40" s="101"/>
      <c r="BJ40" s="99"/>
      <c r="BK40" s="102"/>
      <c r="BL40" s="98"/>
      <c r="BM40" s="99"/>
      <c r="BN40" s="100"/>
      <c r="BO40" s="101"/>
      <c r="BP40" s="99"/>
      <c r="BQ40" s="100"/>
      <c r="BR40" s="101"/>
      <c r="BS40" s="99"/>
      <c r="BT40" s="100"/>
      <c r="BU40" s="101"/>
      <c r="BV40" s="99"/>
      <c r="BW40" s="102"/>
      <c r="BX40" s="98"/>
      <c r="BY40" s="99"/>
      <c r="BZ40" s="100"/>
      <c r="CA40" s="101"/>
      <c r="CB40" s="99"/>
      <c r="CC40" s="100"/>
      <c r="CD40" s="101"/>
      <c r="CE40" s="99"/>
      <c r="CF40" s="100"/>
      <c r="CG40" s="101"/>
      <c r="CH40" s="99"/>
      <c r="CI40" s="102"/>
      <c r="CJ40" s="98"/>
      <c r="CK40" s="99"/>
      <c r="CL40" s="100"/>
      <c r="CM40" s="101"/>
      <c r="CN40" s="99"/>
      <c r="CO40" s="100"/>
      <c r="CP40" s="101"/>
      <c r="CQ40" s="99"/>
      <c r="CR40" s="100"/>
      <c r="CS40" s="101"/>
      <c r="CT40" s="99"/>
      <c r="CU40" s="102"/>
      <c r="CV40" s="98"/>
      <c r="CW40" s="99"/>
      <c r="CX40" s="100"/>
      <c r="CY40" s="101"/>
      <c r="CZ40" s="99"/>
      <c r="DA40" s="100"/>
      <c r="DB40" s="101"/>
      <c r="DC40" s="99"/>
      <c r="DD40" s="100"/>
      <c r="DE40" s="101"/>
      <c r="DF40" s="99"/>
      <c r="DG40" s="102"/>
      <c r="DH40" s="98"/>
      <c r="DI40" s="99"/>
      <c r="DJ40" s="100"/>
      <c r="DK40" s="101"/>
      <c r="DL40" s="99"/>
      <c r="DM40" s="100"/>
      <c r="DN40" s="101"/>
      <c r="DO40" s="99"/>
      <c r="DP40" s="100"/>
      <c r="DQ40" s="101"/>
      <c r="DR40" s="99"/>
      <c r="DS40" s="102"/>
      <c r="DT40" s="98"/>
      <c r="DU40" s="99"/>
      <c r="DV40" s="100"/>
      <c r="DW40" s="101"/>
      <c r="DX40" s="99"/>
      <c r="DY40" s="100"/>
      <c r="DZ40" s="101"/>
      <c r="EA40" s="99"/>
      <c r="EB40" s="100"/>
      <c r="EC40" s="101"/>
      <c r="ED40" s="99"/>
      <c r="EE40" s="102"/>
      <c r="EF40" s="98"/>
      <c r="EG40" s="99"/>
      <c r="EH40" s="100"/>
      <c r="EI40" s="101"/>
      <c r="EJ40" s="99"/>
      <c r="EK40" s="100"/>
      <c r="EL40" s="101"/>
      <c r="EM40" s="99"/>
      <c r="EN40" s="100"/>
      <c r="EO40" s="101"/>
      <c r="EP40" s="99"/>
      <c r="EQ40" s="102"/>
      <c r="ER40" s="98"/>
      <c r="ES40" s="99"/>
      <c r="ET40" s="100"/>
      <c r="EU40" s="101"/>
      <c r="EV40" s="99"/>
      <c r="EW40" s="100"/>
      <c r="EX40" s="101"/>
      <c r="EY40" s="99"/>
      <c r="EZ40" s="100"/>
      <c r="FA40" s="101"/>
      <c r="FB40" s="99"/>
      <c r="FC40" s="102"/>
      <c r="FD40" s="98"/>
      <c r="FE40" s="99"/>
      <c r="FF40" s="100"/>
      <c r="FG40" s="101"/>
      <c r="FH40" s="99"/>
      <c r="FI40" s="100"/>
      <c r="FJ40" s="101"/>
      <c r="FK40" s="99"/>
      <c r="FL40" s="100"/>
      <c r="FM40" s="101"/>
      <c r="FN40" s="99"/>
      <c r="FO40" s="102"/>
      <c r="FP40" s="98"/>
      <c r="FQ40" s="99"/>
      <c r="FR40" s="100"/>
      <c r="FS40" s="101"/>
      <c r="FT40" s="99"/>
      <c r="FU40" s="100"/>
      <c r="FV40" s="101"/>
      <c r="FW40" s="99"/>
      <c r="FX40" s="100"/>
      <c r="FY40" s="101"/>
      <c r="FZ40" s="99"/>
      <c r="GA40" s="102"/>
      <c r="GB40" s="98"/>
      <c r="GC40" s="99"/>
      <c r="GD40" s="100"/>
      <c r="GE40" s="101"/>
      <c r="GF40" s="99"/>
      <c r="GG40" s="100"/>
      <c r="GH40" s="101"/>
      <c r="GI40" s="99"/>
      <c r="GJ40" s="100"/>
      <c r="GK40" s="101"/>
      <c r="GL40" s="99"/>
      <c r="GM40" s="102"/>
    </row>
    <row r="41" spans="2:195" ht="19.5" customHeight="1" x14ac:dyDescent="0.25">
      <c r="B41" s="130" t="str">
        <f>Donnees!$C$39</f>
        <v>Installateur</v>
      </c>
      <c r="C41" s="103">
        <v>0</v>
      </c>
      <c r="D41" s="93"/>
      <c r="E41" s="94"/>
      <c r="F41" s="95"/>
      <c r="G41" s="96"/>
      <c r="H41" s="94"/>
      <c r="I41" s="95"/>
      <c r="J41" s="96"/>
      <c r="K41" s="94"/>
      <c r="L41" s="95"/>
      <c r="M41" s="96"/>
      <c r="N41" s="94"/>
      <c r="O41" s="97"/>
      <c r="P41" s="93"/>
      <c r="Q41" s="94"/>
      <c r="R41" s="95"/>
      <c r="S41" s="96"/>
      <c r="T41" s="94"/>
      <c r="U41" s="95"/>
      <c r="V41" s="96"/>
      <c r="W41" s="94"/>
      <c r="X41" s="95"/>
      <c r="Y41" s="96"/>
      <c r="Z41" s="94"/>
      <c r="AA41" s="97"/>
      <c r="AB41" s="93"/>
      <c r="AC41" s="94"/>
      <c r="AD41" s="95"/>
      <c r="AE41" s="96"/>
      <c r="AF41" s="94"/>
      <c r="AG41" s="95"/>
      <c r="AH41" s="96"/>
      <c r="AI41" s="94"/>
      <c r="AJ41" s="95"/>
      <c r="AK41" s="96"/>
      <c r="AL41" s="94"/>
      <c r="AM41" s="97"/>
      <c r="AN41" s="93"/>
      <c r="AO41" s="94"/>
      <c r="AP41" s="95"/>
      <c r="AQ41" s="96"/>
      <c r="AR41" s="94"/>
      <c r="AS41" s="95"/>
      <c r="AT41" s="96"/>
      <c r="AU41" s="94"/>
      <c r="AV41" s="95"/>
      <c r="AW41" s="96"/>
      <c r="AX41" s="94"/>
      <c r="AY41" s="97"/>
      <c r="AZ41" s="93"/>
      <c r="BA41" s="94"/>
      <c r="BB41" s="95"/>
      <c r="BC41" s="96"/>
      <c r="BD41" s="94"/>
      <c r="BE41" s="95"/>
      <c r="BF41" s="96"/>
      <c r="BG41" s="94"/>
      <c r="BH41" s="95"/>
      <c r="BI41" s="96"/>
      <c r="BJ41" s="94"/>
      <c r="BK41" s="97"/>
      <c r="BL41" s="93"/>
      <c r="BM41" s="94"/>
      <c r="BN41" s="95"/>
      <c r="BO41" s="96"/>
      <c r="BP41" s="94"/>
      <c r="BQ41" s="95"/>
      <c r="BR41" s="96"/>
      <c r="BS41" s="94"/>
      <c r="BT41" s="95"/>
      <c r="BU41" s="96"/>
      <c r="BV41" s="94"/>
      <c r="BW41" s="97"/>
      <c r="BX41" s="93"/>
      <c r="BY41" s="94"/>
      <c r="BZ41" s="95"/>
      <c r="CA41" s="96"/>
      <c r="CB41" s="94"/>
      <c r="CC41" s="95"/>
      <c r="CD41" s="96"/>
      <c r="CE41" s="94"/>
      <c r="CF41" s="95"/>
      <c r="CG41" s="96"/>
      <c r="CH41" s="94"/>
      <c r="CI41" s="97"/>
      <c r="CJ41" s="93"/>
      <c r="CK41" s="94"/>
      <c r="CL41" s="95"/>
      <c r="CM41" s="96"/>
      <c r="CN41" s="94"/>
      <c r="CO41" s="95"/>
      <c r="CP41" s="96"/>
      <c r="CQ41" s="94"/>
      <c r="CR41" s="95"/>
      <c r="CS41" s="96"/>
      <c r="CT41" s="94"/>
      <c r="CU41" s="97"/>
      <c r="CV41" s="93"/>
      <c r="CW41" s="94"/>
      <c r="CX41" s="95"/>
      <c r="CY41" s="96"/>
      <c r="CZ41" s="94"/>
      <c r="DA41" s="95"/>
      <c r="DB41" s="96"/>
      <c r="DC41" s="94"/>
      <c r="DD41" s="95"/>
      <c r="DE41" s="96"/>
      <c r="DF41" s="94"/>
      <c r="DG41" s="97"/>
      <c r="DH41" s="93"/>
      <c r="DI41" s="94"/>
      <c r="DJ41" s="95"/>
      <c r="DK41" s="96"/>
      <c r="DL41" s="94"/>
      <c r="DM41" s="95"/>
      <c r="DN41" s="96"/>
      <c r="DO41" s="94"/>
      <c r="DP41" s="95"/>
      <c r="DQ41" s="96"/>
      <c r="DR41" s="94"/>
      <c r="DS41" s="97"/>
      <c r="DT41" s="93"/>
      <c r="DU41" s="94"/>
      <c r="DV41" s="95"/>
      <c r="DW41" s="96"/>
      <c r="DX41" s="94"/>
      <c r="DY41" s="95"/>
      <c r="DZ41" s="96"/>
      <c r="EA41" s="94"/>
      <c r="EB41" s="95"/>
      <c r="EC41" s="96"/>
      <c r="ED41" s="94"/>
      <c r="EE41" s="97"/>
      <c r="EF41" s="93"/>
      <c r="EG41" s="94"/>
      <c r="EH41" s="95"/>
      <c r="EI41" s="96"/>
      <c r="EJ41" s="94"/>
      <c r="EK41" s="95"/>
      <c r="EL41" s="96"/>
      <c r="EM41" s="94"/>
      <c r="EN41" s="95"/>
      <c r="EO41" s="96"/>
      <c r="EP41" s="94"/>
      <c r="EQ41" s="97"/>
      <c r="ER41" s="93"/>
      <c r="ES41" s="94"/>
      <c r="ET41" s="95"/>
      <c r="EU41" s="96"/>
      <c r="EV41" s="94"/>
      <c r="EW41" s="95"/>
      <c r="EX41" s="96"/>
      <c r="EY41" s="94"/>
      <c r="EZ41" s="95"/>
      <c r="FA41" s="96"/>
      <c r="FB41" s="94"/>
      <c r="FC41" s="97"/>
      <c r="FD41" s="93"/>
      <c r="FE41" s="94"/>
      <c r="FF41" s="95"/>
      <c r="FG41" s="96"/>
      <c r="FH41" s="94"/>
      <c r="FI41" s="95"/>
      <c r="FJ41" s="96"/>
      <c r="FK41" s="94"/>
      <c r="FL41" s="95"/>
      <c r="FM41" s="96"/>
      <c r="FN41" s="94"/>
      <c r="FO41" s="97"/>
      <c r="FP41" s="93"/>
      <c r="FQ41" s="94"/>
      <c r="FR41" s="95"/>
      <c r="FS41" s="96"/>
      <c r="FT41" s="94"/>
      <c r="FU41" s="95"/>
      <c r="FV41" s="96"/>
      <c r="FW41" s="94"/>
      <c r="FX41" s="95"/>
      <c r="FY41" s="96"/>
      <c r="FZ41" s="94"/>
      <c r="GA41" s="97"/>
      <c r="GB41" s="93"/>
      <c r="GC41" s="94"/>
      <c r="GD41" s="95"/>
      <c r="GE41" s="96"/>
      <c r="GF41" s="94"/>
      <c r="GG41" s="95"/>
      <c r="GH41" s="96"/>
      <c r="GI41" s="94"/>
      <c r="GJ41" s="95"/>
      <c r="GK41" s="96"/>
      <c r="GL41" s="94"/>
      <c r="GM41" s="97"/>
    </row>
    <row r="42" spans="2:195" ht="19.5" customHeight="1" thickBot="1" x14ac:dyDescent="0.3">
      <c r="B42" s="131"/>
      <c r="C42" s="104">
        <v>0</v>
      </c>
      <c r="D42" s="98"/>
      <c r="E42" s="99"/>
      <c r="F42" s="100"/>
      <c r="G42" s="101"/>
      <c r="H42" s="99"/>
      <c r="I42" s="100"/>
      <c r="J42" s="101"/>
      <c r="K42" s="99"/>
      <c r="L42" s="100"/>
      <c r="M42" s="101"/>
      <c r="N42" s="99"/>
      <c r="O42" s="102"/>
      <c r="P42" s="98"/>
      <c r="Q42" s="99"/>
      <c r="R42" s="100"/>
      <c r="S42" s="101"/>
      <c r="T42" s="99"/>
      <c r="U42" s="100"/>
      <c r="V42" s="101"/>
      <c r="W42" s="99"/>
      <c r="X42" s="100"/>
      <c r="Y42" s="101"/>
      <c r="Z42" s="99"/>
      <c r="AA42" s="102"/>
      <c r="AB42" s="98"/>
      <c r="AC42" s="99"/>
      <c r="AD42" s="100"/>
      <c r="AE42" s="101"/>
      <c r="AF42" s="99"/>
      <c r="AG42" s="100"/>
      <c r="AH42" s="101"/>
      <c r="AI42" s="99"/>
      <c r="AJ42" s="100"/>
      <c r="AK42" s="101"/>
      <c r="AL42" s="99"/>
      <c r="AM42" s="102"/>
      <c r="AN42" s="98"/>
      <c r="AO42" s="99"/>
      <c r="AP42" s="100"/>
      <c r="AQ42" s="101"/>
      <c r="AR42" s="99"/>
      <c r="AS42" s="100"/>
      <c r="AT42" s="101"/>
      <c r="AU42" s="99"/>
      <c r="AV42" s="100"/>
      <c r="AW42" s="101"/>
      <c r="AX42" s="99"/>
      <c r="AY42" s="102"/>
      <c r="AZ42" s="98"/>
      <c r="BA42" s="99"/>
      <c r="BB42" s="100"/>
      <c r="BC42" s="101"/>
      <c r="BD42" s="99"/>
      <c r="BE42" s="100"/>
      <c r="BF42" s="101"/>
      <c r="BG42" s="99"/>
      <c r="BH42" s="100"/>
      <c r="BI42" s="101"/>
      <c r="BJ42" s="99"/>
      <c r="BK42" s="102"/>
      <c r="BL42" s="98"/>
      <c r="BM42" s="99"/>
      <c r="BN42" s="100"/>
      <c r="BO42" s="101"/>
      <c r="BP42" s="99"/>
      <c r="BQ42" s="100"/>
      <c r="BR42" s="101"/>
      <c r="BS42" s="99"/>
      <c r="BT42" s="100"/>
      <c r="BU42" s="101"/>
      <c r="BV42" s="99"/>
      <c r="BW42" s="102"/>
      <c r="BX42" s="98"/>
      <c r="BY42" s="99"/>
      <c r="BZ42" s="100"/>
      <c r="CA42" s="101"/>
      <c r="CB42" s="99"/>
      <c r="CC42" s="100"/>
      <c r="CD42" s="101"/>
      <c r="CE42" s="99"/>
      <c r="CF42" s="100"/>
      <c r="CG42" s="101"/>
      <c r="CH42" s="99"/>
      <c r="CI42" s="102"/>
      <c r="CJ42" s="98"/>
      <c r="CK42" s="99"/>
      <c r="CL42" s="100"/>
      <c r="CM42" s="101"/>
      <c r="CN42" s="99"/>
      <c r="CO42" s="100"/>
      <c r="CP42" s="101"/>
      <c r="CQ42" s="99"/>
      <c r="CR42" s="100"/>
      <c r="CS42" s="101"/>
      <c r="CT42" s="99"/>
      <c r="CU42" s="102"/>
      <c r="CV42" s="98"/>
      <c r="CW42" s="99"/>
      <c r="CX42" s="100"/>
      <c r="CY42" s="101"/>
      <c r="CZ42" s="99"/>
      <c r="DA42" s="100"/>
      <c r="DB42" s="101"/>
      <c r="DC42" s="99"/>
      <c r="DD42" s="100"/>
      <c r="DE42" s="101"/>
      <c r="DF42" s="99"/>
      <c r="DG42" s="102"/>
      <c r="DH42" s="98"/>
      <c r="DI42" s="99"/>
      <c r="DJ42" s="100"/>
      <c r="DK42" s="101"/>
      <c r="DL42" s="99"/>
      <c r="DM42" s="100"/>
      <c r="DN42" s="101"/>
      <c r="DO42" s="99"/>
      <c r="DP42" s="100"/>
      <c r="DQ42" s="101"/>
      <c r="DR42" s="99"/>
      <c r="DS42" s="102"/>
      <c r="DT42" s="98"/>
      <c r="DU42" s="99"/>
      <c r="DV42" s="100"/>
      <c r="DW42" s="101"/>
      <c r="DX42" s="99"/>
      <c r="DY42" s="100"/>
      <c r="DZ42" s="101"/>
      <c r="EA42" s="99"/>
      <c r="EB42" s="100"/>
      <c r="EC42" s="101"/>
      <c r="ED42" s="99"/>
      <c r="EE42" s="102"/>
      <c r="EF42" s="98"/>
      <c r="EG42" s="99"/>
      <c r="EH42" s="100"/>
      <c r="EI42" s="101"/>
      <c r="EJ42" s="99"/>
      <c r="EK42" s="100"/>
      <c r="EL42" s="101"/>
      <c r="EM42" s="99"/>
      <c r="EN42" s="100"/>
      <c r="EO42" s="101"/>
      <c r="EP42" s="99"/>
      <c r="EQ42" s="102"/>
      <c r="ER42" s="98"/>
      <c r="ES42" s="99"/>
      <c r="ET42" s="100"/>
      <c r="EU42" s="101"/>
      <c r="EV42" s="99"/>
      <c r="EW42" s="100"/>
      <c r="EX42" s="101"/>
      <c r="EY42" s="99"/>
      <c r="EZ42" s="100"/>
      <c r="FA42" s="101"/>
      <c r="FB42" s="99"/>
      <c r="FC42" s="102"/>
      <c r="FD42" s="98"/>
      <c r="FE42" s="99"/>
      <c r="FF42" s="100"/>
      <c r="FG42" s="101"/>
      <c r="FH42" s="99"/>
      <c r="FI42" s="100"/>
      <c r="FJ42" s="101"/>
      <c r="FK42" s="99"/>
      <c r="FL42" s="100"/>
      <c r="FM42" s="101"/>
      <c r="FN42" s="99"/>
      <c r="FO42" s="102"/>
      <c r="FP42" s="98"/>
      <c r="FQ42" s="99"/>
      <c r="FR42" s="100"/>
      <c r="FS42" s="101"/>
      <c r="FT42" s="99"/>
      <c r="FU42" s="100"/>
      <c r="FV42" s="101"/>
      <c r="FW42" s="99"/>
      <c r="FX42" s="100"/>
      <c r="FY42" s="101"/>
      <c r="FZ42" s="99"/>
      <c r="GA42" s="102"/>
      <c r="GB42" s="98"/>
      <c r="GC42" s="99"/>
      <c r="GD42" s="100"/>
      <c r="GE42" s="101"/>
      <c r="GF42" s="99"/>
      <c r="GG42" s="100"/>
      <c r="GH42" s="101"/>
      <c r="GI42" s="99"/>
      <c r="GJ42" s="100"/>
      <c r="GK42" s="101"/>
      <c r="GL42" s="99"/>
      <c r="GM42" s="102"/>
    </row>
    <row r="43" spans="2:195" ht="19.5" customHeight="1" x14ac:dyDescent="0.25">
      <c r="B43" s="130" t="str">
        <f>Donnees!$C$40</f>
        <v>Béta tests</v>
      </c>
      <c r="C43" s="103">
        <v>0</v>
      </c>
      <c r="D43" s="93"/>
      <c r="E43" s="94"/>
      <c r="F43" s="95"/>
      <c r="G43" s="96"/>
      <c r="H43" s="94"/>
      <c r="I43" s="95"/>
      <c r="J43" s="96"/>
      <c r="K43" s="94"/>
      <c r="L43" s="95"/>
      <c r="M43" s="96"/>
      <c r="N43" s="94"/>
      <c r="O43" s="97"/>
      <c r="P43" s="93"/>
      <c r="Q43" s="94"/>
      <c r="R43" s="95"/>
      <c r="S43" s="96"/>
      <c r="T43" s="94"/>
      <c r="U43" s="95"/>
      <c r="V43" s="96"/>
      <c r="W43" s="94"/>
      <c r="X43" s="95"/>
      <c r="Y43" s="96"/>
      <c r="Z43" s="94"/>
      <c r="AA43" s="97"/>
      <c r="AB43" s="93"/>
      <c r="AC43" s="94"/>
      <c r="AD43" s="95"/>
      <c r="AE43" s="96"/>
      <c r="AF43" s="94"/>
      <c r="AG43" s="95"/>
      <c r="AH43" s="96"/>
      <c r="AI43" s="94"/>
      <c r="AJ43" s="95"/>
      <c r="AK43" s="96"/>
      <c r="AL43" s="94"/>
      <c r="AM43" s="97"/>
      <c r="AN43" s="93"/>
      <c r="AO43" s="94"/>
      <c r="AP43" s="95"/>
      <c r="AQ43" s="96"/>
      <c r="AR43" s="94"/>
      <c r="AS43" s="95"/>
      <c r="AT43" s="96"/>
      <c r="AU43" s="94"/>
      <c r="AV43" s="95"/>
      <c r="AW43" s="96"/>
      <c r="AX43" s="94"/>
      <c r="AY43" s="97"/>
      <c r="AZ43" s="93"/>
      <c r="BA43" s="94"/>
      <c r="BB43" s="95"/>
      <c r="BC43" s="96"/>
      <c r="BD43" s="94"/>
      <c r="BE43" s="95"/>
      <c r="BF43" s="96"/>
      <c r="BG43" s="94"/>
      <c r="BH43" s="95"/>
      <c r="BI43" s="96"/>
      <c r="BJ43" s="94"/>
      <c r="BK43" s="97"/>
      <c r="BL43" s="93"/>
      <c r="BM43" s="94"/>
      <c r="BN43" s="95"/>
      <c r="BO43" s="96"/>
      <c r="BP43" s="94"/>
      <c r="BQ43" s="95"/>
      <c r="BR43" s="96"/>
      <c r="BS43" s="94"/>
      <c r="BT43" s="95"/>
      <c r="BU43" s="96"/>
      <c r="BV43" s="94"/>
      <c r="BW43" s="97"/>
      <c r="BX43" s="93"/>
      <c r="BY43" s="94"/>
      <c r="BZ43" s="95"/>
      <c r="CA43" s="96"/>
      <c r="CB43" s="94"/>
      <c r="CC43" s="95"/>
      <c r="CD43" s="96"/>
      <c r="CE43" s="94"/>
      <c r="CF43" s="95"/>
      <c r="CG43" s="96"/>
      <c r="CH43" s="94"/>
      <c r="CI43" s="97"/>
      <c r="CJ43" s="93"/>
      <c r="CK43" s="94"/>
      <c r="CL43" s="95"/>
      <c r="CM43" s="96"/>
      <c r="CN43" s="94"/>
      <c r="CO43" s="95"/>
      <c r="CP43" s="96"/>
      <c r="CQ43" s="94"/>
      <c r="CR43" s="95"/>
      <c r="CS43" s="96"/>
      <c r="CT43" s="94"/>
      <c r="CU43" s="97"/>
      <c r="CV43" s="93"/>
      <c r="CW43" s="94"/>
      <c r="CX43" s="95"/>
      <c r="CY43" s="96"/>
      <c r="CZ43" s="94"/>
      <c r="DA43" s="95"/>
      <c r="DB43" s="96"/>
      <c r="DC43" s="94"/>
      <c r="DD43" s="95"/>
      <c r="DE43" s="96"/>
      <c r="DF43" s="94"/>
      <c r="DG43" s="97"/>
      <c r="DH43" s="93"/>
      <c r="DI43" s="94"/>
      <c r="DJ43" s="95"/>
      <c r="DK43" s="96"/>
      <c r="DL43" s="94"/>
      <c r="DM43" s="95"/>
      <c r="DN43" s="96"/>
      <c r="DO43" s="94"/>
      <c r="DP43" s="95"/>
      <c r="DQ43" s="96"/>
      <c r="DR43" s="94"/>
      <c r="DS43" s="97"/>
      <c r="DT43" s="93"/>
      <c r="DU43" s="94"/>
      <c r="DV43" s="95"/>
      <c r="DW43" s="96"/>
      <c r="DX43" s="94"/>
      <c r="DY43" s="95"/>
      <c r="DZ43" s="96"/>
      <c r="EA43" s="94"/>
      <c r="EB43" s="95"/>
      <c r="EC43" s="96"/>
      <c r="ED43" s="94"/>
      <c r="EE43" s="97"/>
      <c r="EF43" s="93"/>
      <c r="EG43" s="94"/>
      <c r="EH43" s="95"/>
      <c r="EI43" s="96"/>
      <c r="EJ43" s="94"/>
      <c r="EK43" s="95"/>
      <c r="EL43" s="96"/>
      <c r="EM43" s="94"/>
      <c r="EN43" s="95"/>
      <c r="EO43" s="96"/>
      <c r="EP43" s="94"/>
      <c r="EQ43" s="97"/>
      <c r="ER43" s="93"/>
      <c r="ES43" s="94"/>
      <c r="ET43" s="95"/>
      <c r="EU43" s="96"/>
      <c r="EV43" s="94"/>
      <c r="EW43" s="95"/>
      <c r="EX43" s="96"/>
      <c r="EY43" s="94"/>
      <c r="EZ43" s="95"/>
      <c r="FA43" s="96"/>
      <c r="FB43" s="94"/>
      <c r="FC43" s="97"/>
      <c r="FD43" s="93"/>
      <c r="FE43" s="94"/>
      <c r="FF43" s="95"/>
      <c r="FG43" s="96"/>
      <c r="FH43" s="94"/>
      <c r="FI43" s="95"/>
      <c r="FJ43" s="96"/>
      <c r="FK43" s="94"/>
      <c r="FL43" s="95"/>
      <c r="FM43" s="96"/>
      <c r="FN43" s="94"/>
      <c r="FO43" s="97"/>
      <c r="FP43" s="93"/>
      <c r="FQ43" s="94"/>
      <c r="FR43" s="95"/>
      <c r="FS43" s="96"/>
      <c r="FT43" s="94"/>
      <c r="FU43" s="95"/>
      <c r="FV43" s="96"/>
      <c r="FW43" s="94"/>
      <c r="FX43" s="95"/>
      <c r="FY43" s="96"/>
      <c r="FZ43" s="94"/>
      <c r="GA43" s="97"/>
      <c r="GB43" s="93"/>
      <c r="GC43" s="94"/>
      <c r="GD43" s="95"/>
      <c r="GE43" s="96"/>
      <c r="GF43" s="94"/>
      <c r="GG43" s="95"/>
      <c r="GH43" s="96"/>
      <c r="GI43" s="94"/>
      <c r="GJ43" s="95"/>
      <c r="GK43" s="96"/>
      <c r="GL43" s="94"/>
      <c r="GM43" s="97"/>
    </row>
    <row r="44" spans="2:195" ht="19.5" customHeight="1" thickBot="1" x14ac:dyDescent="0.3">
      <c r="B44" s="131"/>
      <c r="C44" s="104">
        <v>0</v>
      </c>
      <c r="D44" s="98"/>
      <c r="E44" s="99"/>
      <c r="F44" s="100"/>
      <c r="G44" s="101"/>
      <c r="H44" s="99"/>
      <c r="I44" s="100"/>
      <c r="J44" s="101"/>
      <c r="K44" s="99"/>
      <c r="L44" s="100"/>
      <c r="M44" s="101"/>
      <c r="N44" s="99"/>
      <c r="O44" s="102"/>
      <c r="P44" s="98"/>
      <c r="Q44" s="99"/>
      <c r="R44" s="100"/>
      <c r="S44" s="101"/>
      <c r="T44" s="99"/>
      <c r="U44" s="100"/>
      <c r="V44" s="101"/>
      <c r="W44" s="99"/>
      <c r="X44" s="100"/>
      <c r="Y44" s="101"/>
      <c r="Z44" s="99"/>
      <c r="AA44" s="102"/>
      <c r="AB44" s="98"/>
      <c r="AC44" s="99"/>
      <c r="AD44" s="100"/>
      <c r="AE44" s="101"/>
      <c r="AF44" s="99"/>
      <c r="AG44" s="100"/>
      <c r="AH44" s="101"/>
      <c r="AI44" s="99"/>
      <c r="AJ44" s="100"/>
      <c r="AK44" s="101"/>
      <c r="AL44" s="99"/>
      <c r="AM44" s="102"/>
      <c r="AN44" s="98"/>
      <c r="AO44" s="99"/>
      <c r="AP44" s="100"/>
      <c r="AQ44" s="101"/>
      <c r="AR44" s="99"/>
      <c r="AS44" s="100"/>
      <c r="AT44" s="101"/>
      <c r="AU44" s="99"/>
      <c r="AV44" s="100"/>
      <c r="AW44" s="101"/>
      <c r="AX44" s="99"/>
      <c r="AY44" s="102"/>
      <c r="AZ44" s="98"/>
      <c r="BA44" s="99"/>
      <c r="BB44" s="100"/>
      <c r="BC44" s="101"/>
      <c r="BD44" s="99"/>
      <c r="BE44" s="100"/>
      <c r="BF44" s="101"/>
      <c r="BG44" s="99"/>
      <c r="BH44" s="100"/>
      <c r="BI44" s="101"/>
      <c r="BJ44" s="99"/>
      <c r="BK44" s="102"/>
      <c r="BL44" s="98"/>
      <c r="BM44" s="99"/>
      <c r="BN44" s="100"/>
      <c r="BO44" s="101"/>
      <c r="BP44" s="99"/>
      <c r="BQ44" s="100"/>
      <c r="BR44" s="101"/>
      <c r="BS44" s="99"/>
      <c r="BT44" s="100"/>
      <c r="BU44" s="101"/>
      <c r="BV44" s="99"/>
      <c r="BW44" s="102"/>
      <c r="BX44" s="98"/>
      <c r="BY44" s="99"/>
      <c r="BZ44" s="100"/>
      <c r="CA44" s="101"/>
      <c r="CB44" s="99"/>
      <c r="CC44" s="100"/>
      <c r="CD44" s="101"/>
      <c r="CE44" s="99"/>
      <c r="CF44" s="100"/>
      <c r="CG44" s="101"/>
      <c r="CH44" s="99"/>
      <c r="CI44" s="102"/>
      <c r="CJ44" s="98"/>
      <c r="CK44" s="99"/>
      <c r="CL44" s="100"/>
      <c r="CM44" s="101"/>
      <c r="CN44" s="99"/>
      <c r="CO44" s="100"/>
      <c r="CP44" s="101"/>
      <c r="CQ44" s="99"/>
      <c r="CR44" s="100"/>
      <c r="CS44" s="101"/>
      <c r="CT44" s="99"/>
      <c r="CU44" s="102"/>
      <c r="CV44" s="98"/>
      <c r="CW44" s="99"/>
      <c r="CX44" s="100"/>
      <c r="CY44" s="101"/>
      <c r="CZ44" s="99"/>
      <c r="DA44" s="100"/>
      <c r="DB44" s="101"/>
      <c r="DC44" s="99"/>
      <c r="DD44" s="100"/>
      <c r="DE44" s="101"/>
      <c r="DF44" s="99"/>
      <c r="DG44" s="102"/>
      <c r="DH44" s="98"/>
      <c r="DI44" s="99"/>
      <c r="DJ44" s="100"/>
      <c r="DK44" s="101"/>
      <c r="DL44" s="99"/>
      <c r="DM44" s="100"/>
      <c r="DN44" s="101"/>
      <c r="DO44" s="99"/>
      <c r="DP44" s="100"/>
      <c r="DQ44" s="101"/>
      <c r="DR44" s="99"/>
      <c r="DS44" s="102"/>
      <c r="DT44" s="98"/>
      <c r="DU44" s="99"/>
      <c r="DV44" s="100"/>
      <c r="DW44" s="101"/>
      <c r="DX44" s="99"/>
      <c r="DY44" s="100"/>
      <c r="DZ44" s="101"/>
      <c r="EA44" s="99"/>
      <c r="EB44" s="100"/>
      <c r="EC44" s="101"/>
      <c r="ED44" s="99"/>
      <c r="EE44" s="102"/>
      <c r="EF44" s="98"/>
      <c r="EG44" s="99"/>
      <c r="EH44" s="100"/>
      <c r="EI44" s="101"/>
      <c r="EJ44" s="99"/>
      <c r="EK44" s="100"/>
      <c r="EL44" s="101"/>
      <c r="EM44" s="99"/>
      <c r="EN44" s="100"/>
      <c r="EO44" s="101"/>
      <c r="EP44" s="99"/>
      <c r="EQ44" s="102"/>
      <c r="ER44" s="98"/>
      <c r="ES44" s="99"/>
      <c r="ET44" s="100"/>
      <c r="EU44" s="101"/>
      <c r="EV44" s="99"/>
      <c r="EW44" s="100"/>
      <c r="EX44" s="101"/>
      <c r="EY44" s="99"/>
      <c r="EZ44" s="100"/>
      <c r="FA44" s="101"/>
      <c r="FB44" s="99"/>
      <c r="FC44" s="102"/>
      <c r="FD44" s="98"/>
      <c r="FE44" s="99"/>
      <c r="FF44" s="100"/>
      <c r="FG44" s="101"/>
      <c r="FH44" s="99"/>
      <c r="FI44" s="100"/>
      <c r="FJ44" s="101"/>
      <c r="FK44" s="99"/>
      <c r="FL44" s="100"/>
      <c r="FM44" s="101"/>
      <c r="FN44" s="99"/>
      <c r="FO44" s="102"/>
      <c r="FP44" s="98"/>
      <c r="FQ44" s="99"/>
      <c r="FR44" s="100"/>
      <c r="FS44" s="101"/>
      <c r="FT44" s="99"/>
      <c r="FU44" s="100"/>
      <c r="FV44" s="101"/>
      <c r="FW44" s="99"/>
      <c r="FX44" s="100"/>
      <c r="FY44" s="101"/>
      <c r="FZ44" s="99"/>
      <c r="GA44" s="102"/>
      <c r="GB44" s="98"/>
      <c r="GC44" s="99"/>
      <c r="GD44" s="100"/>
      <c r="GE44" s="101"/>
      <c r="GF44" s="99"/>
      <c r="GG44" s="100"/>
      <c r="GH44" s="101"/>
      <c r="GI44" s="99"/>
      <c r="GJ44" s="100"/>
      <c r="GK44" s="101"/>
      <c r="GL44" s="99"/>
      <c r="GM44" s="102"/>
    </row>
    <row r="45" spans="2:195" ht="19.5" customHeight="1" x14ac:dyDescent="0.25">
      <c r="B45" s="130" t="str">
        <f>Donnees!$C$41</f>
        <v>Documentation-UML</v>
      </c>
      <c r="C45" s="103">
        <v>0</v>
      </c>
      <c r="D45" s="93"/>
      <c r="E45" s="94"/>
      <c r="F45" s="95"/>
      <c r="G45" s="96"/>
      <c r="H45" s="94"/>
      <c r="I45" s="95"/>
      <c r="J45" s="96"/>
      <c r="K45" s="94"/>
      <c r="L45" s="95"/>
      <c r="M45" s="96"/>
      <c r="N45" s="94"/>
      <c r="O45" s="97"/>
      <c r="P45" s="93"/>
      <c r="Q45" s="94"/>
      <c r="R45" s="95"/>
      <c r="S45" s="96"/>
      <c r="T45" s="94"/>
      <c r="U45" s="95"/>
      <c r="V45" s="96"/>
      <c r="W45" s="94"/>
      <c r="X45" s="95"/>
      <c r="Y45" s="96"/>
      <c r="Z45" s="94"/>
      <c r="AA45" s="97"/>
      <c r="AB45" s="93"/>
      <c r="AC45" s="94"/>
      <c r="AD45" s="95"/>
      <c r="AE45" s="96"/>
      <c r="AF45" s="94"/>
      <c r="AG45" s="95"/>
      <c r="AH45" s="96"/>
      <c r="AI45" s="94"/>
      <c r="AJ45" s="95"/>
      <c r="AK45" s="96"/>
      <c r="AL45" s="94"/>
      <c r="AM45" s="97"/>
      <c r="AN45" s="93"/>
      <c r="AO45" s="94"/>
      <c r="AP45" s="95"/>
      <c r="AQ45" s="96"/>
      <c r="AR45" s="94"/>
      <c r="AS45" s="95"/>
      <c r="AT45" s="96"/>
      <c r="AU45" s="94"/>
      <c r="AV45" s="95"/>
      <c r="AW45" s="96"/>
      <c r="AX45" s="94"/>
      <c r="AY45" s="97"/>
      <c r="AZ45" s="93"/>
      <c r="BA45" s="94"/>
      <c r="BB45" s="95"/>
      <c r="BC45" s="96"/>
      <c r="BD45" s="94"/>
      <c r="BE45" s="95"/>
      <c r="BF45" s="96"/>
      <c r="BG45" s="94"/>
      <c r="BH45" s="95"/>
      <c r="BI45" s="96"/>
      <c r="BJ45" s="94"/>
      <c r="BK45" s="97"/>
      <c r="BL45" s="93"/>
      <c r="BM45" s="94"/>
      <c r="BN45" s="95"/>
      <c r="BO45" s="96"/>
      <c r="BP45" s="94"/>
      <c r="BQ45" s="95"/>
      <c r="BR45" s="96"/>
      <c r="BS45" s="94"/>
      <c r="BT45" s="95"/>
      <c r="BU45" s="96"/>
      <c r="BV45" s="94"/>
      <c r="BW45" s="97"/>
      <c r="BX45" s="93"/>
      <c r="BY45" s="94"/>
      <c r="BZ45" s="95"/>
      <c r="CA45" s="96"/>
      <c r="CB45" s="94"/>
      <c r="CC45" s="95"/>
      <c r="CD45" s="96"/>
      <c r="CE45" s="94"/>
      <c r="CF45" s="95"/>
      <c r="CG45" s="96"/>
      <c r="CH45" s="94"/>
      <c r="CI45" s="97"/>
      <c r="CJ45" s="93"/>
      <c r="CK45" s="94"/>
      <c r="CL45" s="95"/>
      <c r="CM45" s="96"/>
      <c r="CN45" s="94"/>
      <c r="CO45" s="95"/>
      <c r="CP45" s="96"/>
      <c r="CQ45" s="94"/>
      <c r="CR45" s="95"/>
      <c r="CS45" s="96"/>
      <c r="CT45" s="94"/>
      <c r="CU45" s="97"/>
      <c r="CV45" s="93"/>
      <c r="CW45" s="94"/>
      <c r="CX45" s="95"/>
      <c r="CY45" s="96"/>
      <c r="CZ45" s="94"/>
      <c r="DA45" s="95"/>
      <c r="DB45" s="96"/>
      <c r="DC45" s="94"/>
      <c r="DD45" s="95"/>
      <c r="DE45" s="96"/>
      <c r="DF45" s="94"/>
      <c r="DG45" s="97"/>
      <c r="DH45" s="93"/>
      <c r="DI45" s="94"/>
      <c r="DJ45" s="95"/>
      <c r="DK45" s="96"/>
      <c r="DL45" s="94"/>
      <c r="DM45" s="95"/>
      <c r="DN45" s="96"/>
      <c r="DO45" s="94"/>
      <c r="DP45" s="95"/>
      <c r="DQ45" s="96"/>
      <c r="DR45" s="94"/>
      <c r="DS45" s="97"/>
      <c r="DT45" s="93"/>
      <c r="DU45" s="94"/>
      <c r="DV45" s="95"/>
      <c r="DW45" s="96"/>
      <c r="DX45" s="94"/>
      <c r="DY45" s="95"/>
      <c r="DZ45" s="96"/>
      <c r="EA45" s="94"/>
      <c r="EB45" s="95"/>
      <c r="EC45" s="96"/>
      <c r="ED45" s="94"/>
      <c r="EE45" s="97"/>
      <c r="EF45" s="93"/>
      <c r="EG45" s="94"/>
      <c r="EH45" s="95"/>
      <c r="EI45" s="96"/>
      <c r="EJ45" s="94"/>
      <c r="EK45" s="95"/>
      <c r="EL45" s="96"/>
      <c r="EM45" s="94"/>
      <c r="EN45" s="95"/>
      <c r="EO45" s="96"/>
      <c r="EP45" s="94"/>
      <c r="EQ45" s="97"/>
      <c r="ER45" s="93"/>
      <c r="ES45" s="94"/>
      <c r="ET45" s="95"/>
      <c r="EU45" s="96"/>
      <c r="EV45" s="94"/>
      <c r="EW45" s="95"/>
      <c r="EX45" s="96"/>
      <c r="EY45" s="94"/>
      <c r="EZ45" s="95"/>
      <c r="FA45" s="96"/>
      <c r="FB45" s="94"/>
      <c r="FC45" s="97"/>
      <c r="FD45" s="93"/>
      <c r="FE45" s="94"/>
      <c r="FF45" s="95"/>
      <c r="FG45" s="96"/>
      <c r="FH45" s="94"/>
      <c r="FI45" s="95"/>
      <c r="FJ45" s="96"/>
      <c r="FK45" s="94"/>
      <c r="FL45" s="95"/>
      <c r="FM45" s="96"/>
      <c r="FN45" s="94"/>
      <c r="FO45" s="97"/>
      <c r="FP45" s="93"/>
      <c r="FQ45" s="94"/>
      <c r="FR45" s="95"/>
      <c r="FS45" s="96"/>
      <c r="FT45" s="94"/>
      <c r="FU45" s="95"/>
      <c r="FV45" s="96"/>
      <c r="FW45" s="94"/>
      <c r="FX45" s="95"/>
      <c r="FY45" s="96"/>
      <c r="FZ45" s="94"/>
      <c r="GA45" s="97"/>
      <c r="GB45" s="93"/>
      <c r="GC45" s="94"/>
      <c r="GD45" s="95"/>
      <c r="GE45" s="96"/>
      <c r="GF45" s="94"/>
      <c r="GG45" s="95"/>
      <c r="GH45" s="96"/>
      <c r="GI45" s="94"/>
      <c r="GJ45" s="95"/>
      <c r="GK45" s="96"/>
      <c r="GL45" s="94"/>
      <c r="GM45" s="97"/>
    </row>
    <row r="46" spans="2:195" ht="19.5" customHeight="1" thickBot="1" x14ac:dyDescent="0.3">
      <c r="B46" s="131"/>
      <c r="C46" s="104">
        <v>0</v>
      </c>
      <c r="D46" s="98"/>
      <c r="E46" s="99"/>
      <c r="F46" s="100"/>
      <c r="G46" s="101"/>
      <c r="H46" s="99"/>
      <c r="I46" s="100"/>
      <c r="J46" s="101"/>
      <c r="K46" s="99"/>
      <c r="L46" s="100"/>
      <c r="M46" s="101"/>
      <c r="N46" s="99"/>
      <c r="O46" s="102"/>
      <c r="P46" s="98"/>
      <c r="Q46" s="99"/>
      <c r="R46" s="100"/>
      <c r="S46" s="101"/>
      <c r="T46" s="99"/>
      <c r="U46" s="100"/>
      <c r="V46" s="101"/>
      <c r="W46" s="99"/>
      <c r="X46" s="100"/>
      <c r="Y46" s="101"/>
      <c r="Z46" s="99"/>
      <c r="AA46" s="102"/>
      <c r="AB46" s="98"/>
      <c r="AC46" s="99"/>
      <c r="AD46" s="100"/>
      <c r="AE46" s="101"/>
      <c r="AF46" s="99"/>
      <c r="AG46" s="100"/>
      <c r="AH46" s="101"/>
      <c r="AI46" s="99"/>
      <c r="AJ46" s="100"/>
      <c r="AK46" s="101"/>
      <c r="AL46" s="99"/>
      <c r="AM46" s="102"/>
      <c r="AN46" s="98"/>
      <c r="AO46" s="99"/>
      <c r="AP46" s="100"/>
      <c r="AQ46" s="101"/>
      <c r="AR46" s="99"/>
      <c r="AS46" s="100"/>
      <c r="AT46" s="101"/>
      <c r="AU46" s="99"/>
      <c r="AV46" s="100"/>
      <c r="AW46" s="101"/>
      <c r="AX46" s="99"/>
      <c r="AY46" s="102"/>
      <c r="AZ46" s="98"/>
      <c r="BA46" s="99"/>
      <c r="BB46" s="100"/>
      <c r="BC46" s="101"/>
      <c r="BD46" s="99"/>
      <c r="BE46" s="100"/>
      <c r="BF46" s="101"/>
      <c r="BG46" s="99"/>
      <c r="BH46" s="100"/>
      <c r="BI46" s="101"/>
      <c r="BJ46" s="99"/>
      <c r="BK46" s="102"/>
      <c r="BL46" s="98"/>
      <c r="BM46" s="99"/>
      <c r="BN46" s="100"/>
      <c r="BO46" s="101"/>
      <c r="BP46" s="99"/>
      <c r="BQ46" s="100"/>
      <c r="BR46" s="101"/>
      <c r="BS46" s="99"/>
      <c r="BT46" s="100"/>
      <c r="BU46" s="101"/>
      <c r="BV46" s="99"/>
      <c r="BW46" s="102"/>
      <c r="BX46" s="98"/>
      <c r="BY46" s="99"/>
      <c r="BZ46" s="100"/>
      <c r="CA46" s="101"/>
      <c r="CB46" s="99"/>
      <c r="CC46" s="100"/>
      <c r="CD46" s="101"/>
      <c r="CE46" s="99"/>
      <c r="CF46" s="100"/>
      <c r="CG46" s="101"/>
      <c r="CH46" s="99"/>
      <c r="CI46" s="102"/>
      <c r="CJ46" s="98"/>
      <c r="CK46" s="99"/>
      <c r="CL46" s="100"/>
      <c r="CM46" s="101"/>
      <c r="CN46" s="99"/>
      <c r="CO46" s="100"/>
      <c r="CP46" s="101"/>
      <c r="CQ46" s="99"/>
      <c r="CR46" s="100"/>
      <c r="CS46" s="101"/>
      <c r="CT46" s="99"/>
      <c r="CU46" s="102"/>
      <c r="CV46" s="98"/>
      <c r="CW46" s="99"/>
      <c r="CX46" s="100"/>
      <c r="CY46" s="101"/>
      <c r="CZ46" s="99"/>
      <c r="DA46" s="100"/>
      <c r="DB46" s="101"/>
      <c r="DC46" s="99"/>
      <c r="DD46" s="100"/>
      <c r="DE46" s="101"/>
      <c r="DF46" s="99"/>
      <c r="DG46" s="102"/>
      <c r="DH46" s="98"/>
      <c r="DI46" s="99"/>
      <c r="DJ46" s="100"/>
      <c r="DK46" s="101"/>
      <c r="DL46" s="99"/>
      <c r="DM46" s="100"/>
      <c r="DN46" s="101"/>
      <c r="DO46" s="99"/>
      <c r="DP46" s="100"/>
      <c r="DQ46" s="101"/>
      <c r="DR46" s="99"/>
      <c r="DS46" s="102"/>
      <c r="DT46" s="98"/>
      <c r="DU46" s="99"/>
      <c r="DV46" s="100"/>
      <c r="DW46" s="101"/>
      <c r="DX46" s="99"/>
      <c r="DY46" s="100"/>
      <c r="DZ46" s="101"/>
      <c r="EA46" s="99"/>
      <c r="EB46" s="100"/>
      <c r="EC46" s="101"/>
      <c r="ED46" s="99"/>
      <c r="EE46" s="102"/>
      <c r="EF46" s="98"/>
      <c r="EG46" s="99"/>
      <c r="EH46" s="100"/>
      <c r="EI46" s="101"/>
      <c r="EJ46" s="99"/>
      <c r="EK46" s="100"/>
      <c r="EL46" s="101"/>
      <c r="EM46" s="99"/>
      <c r="EN46" s="100"/>
      <c r="EO46" s="101"/>
      <c r="EP46" s="99"/>
      <c r="EQ46" s="102"/>
      <c r="ER46" s="98"/>
      <c r="ES46" s="99"/>
      <c r="ET46" s="100"/>
      <c r="EU46" s="101"/>
      <c r="EV46" s="99"/>
      <c r="EW46" s="100"/>
      <c r="EX46" s="101"/>
      <c r="EY46" s="99"/>
      <c r="EZ46" s="100"/>
      <c r="FA46" s="101"/>
      <c r="FB46" s="99"/>
      <c r="FC46" s="102"/>
      <c r="FD46" s="98"/>
      <c r="FE46" s="99"/>
      <c r="FF46" s="100"/>
      <c r="FG46" s="101"/>
      <c r="FH46" s="99"/>
      <c r="FI46" s="100"/>
      <c r="FJ46" s="101"/>
      <c r="FK46" s="99"/>
      <c r="FL46" s="100"/>
      <c r="FM46" s="101"/>
      <c r="FN46" s="99"/>
      <c r="FO46" s="102"/>
      <c r="FP46" s="98"/>
      <c r="FQ46" s="99"/>
      <c r="FR46" s="100"/>
      <c r="FS46" s="101"/>
      <c r="FT46" s="99"/>
      <c r="FU46" s="100"/>
      <c r="FV46" s="101"/>
      <c r="FW46" s="99"/>
      <c r="FX46" s="100"/>
      <c r="FY46" s="101"/>
      <c r="FZ46" s="99"/>
      <c r="GA46" s="102"/>
      <c r="GB46" s="98"/>
      <c r="GC46" s="99"/>
      <c r="GD46" s="100"/>
      <c r="GE46" s="101"/>
      <c r="GF46" s="99"/>
      <c r="GG46" s="100"/>
      <c r="GH46" s="101"/>
      <c r="GI46" s="99"/>
      <c r="GJ46" s="100"/>
      <c r="GK46" s="101"/>
      <c r="GL46" s="99"/>
      <c r="GM46" s="102"/>
    </row>
    <row r="47" spans="2:195" ht="19.5" customHeight="1" x14ac:dyDescent="0.25">
      <c r="B47" s="130" t="str">
        <f>Donnees!$C$42</f>
        <v>Documentation-Tests</v>
      </c>
      <c r="C47" s="103">
        <v>0</v>
      </c>
      <c r="D47" s="93"/>
      <c r="E47" s="94"/>
      <c r="F47" s="95"/>
      <c r="G47" s="96"/>
      <c r="H47" s="94"/>
      <c r="I47" s="95"/>
      <c r="J47" s="96"/>
      <c r="K47" s="94"/>
      <c r="L47" s="95"/>
      <c r="M47" s="96"/>
      <c r="N47" s="94"/>
      <c r="O47" s="97"/>
      <c r="P47" s="93"/>
      <c r="Q47" s="94"/>
      <c r="R47" s="95"/>
      <c r="S47" s="96"/>
      <c r="T47" s="94"/>
      <c r="U47" s="95"/>
      <c r="V47" s="96"/>
      <c r="W47" s="94"/>
      <c r="X47" s="95"/>
      <c r="Y47" s="96"/>
      <c r="Z47" s="94"/>
      <c r="AA47" s="97"/>
      <c r="AB47" s="93"/>
      <c r="AC47" s="94"/>
      <c r="AD47" s="95"/>
      <c r="AE47" s="96"/>
      <c r="AF47" s="94"/>
      <c r="AG47" s="95"/>
      <c r="AH47" s="96"/>
      <c r="AI47" s="94"/>
      <c r="AJ47" s="95"/>
      <c r="AK47" s="96"/>
      <c r="AL47" s="94"/>
      <c r="AM47" s="97"/>
      <c r="AN47" s="93"/>
      <c r="AO47" s="94"/>
      <c r="AP47" s="95"/>
      <c r="AQ47" s="96"/>
      <c r="AR47" s="94"/>
      <c r="AS47" s="95"/>
      <c r="AT47" s="96"/>
      <c r="AU47" s="94"/>
      <c r="AV47" s="95"/>
      <c r="AW47" s="96"/>
      <c r="AX47" s="94"/>
      <c r="AY47" s="97"/>
      <c r="AZ47" s="93"/>
      <c r="BA47" s="94"/>
      <c r="BB47" s="95"/>
      <c r="BC47" s="96"/>
      <c r="BD47" s="94"/>
      <c r="BE47" s="95"/>
      <c r="BF47" s="96"/>
      <c r="BG47" s="94"/>
      <c r="BH47" s="95"/>
      <c r="BI47" s="96"/>
      <c r="BJ47" s="94"/>
      <c r="BK47" s="97"/>
      <c r="BL47" s="93"/>
      <c r="BM47" s="94"/>
      <c r="BN47" s="95"/>
      <c r="BO47" s="96"/>
      <c r="BP47" s="94"/>
      <c r="BQ47" s="95"/>
      <c r="BR47" s="96"/>
      <c r="BS47" s="94"/>
      <c r="BT47" s="95"/>
      <c r="BU47" s="96"/>
      <c r="BV47" s="94"/>
      <c r="BW47" s="97"/>
      <c r="BX47" s="93"/>
      <c r="BY47" s="94"/>
      <c r="BZ47" s="95"/>
      <c r="CA47" s="96"/>
      <c r="CB47" s="94"/>
      <c r="CC47" s="95"/>
      <c r="CD47" s="96"/>
      <c r="CE47" s="94"/>
      <c r="CF47" s="95"/>
      <c r="CG47" s="96"/>
      <c r="CH47" s="94"/>
      <c r="CI47" s="97"/>
      <c r="CJ47" s="93"/>
      <c r="CK47" s="94"/>
      <c r="CL47" s="95"/>
      <c r="CM47" s="96"/>
      <c r="CN47" s="94"/>
      <c r="CO47" s="95"/>
      <c r="CP47" s="96"/>
      <c r="CQ47" s="94"/>
      <c r="CR47" s="95"/>
      <c r="CS47" s="96"/>
      <c r="CT47" s="94"/>
      <c r="CU47" s="97"/>
      <c r="CV47" s="93"/>
      <c r="CW47" s="94"/>
      <c r="CX47" s="95"/>
      <c r="CY47" s="96"/>
      <c r="CZ47" s="94"/>
      <c r="DA47" s="95"/>
      <c r="DB47" s="96"/>
      <c r="DC47" s="94"/>
      <c r="DD47" s="95"/>
      <c r="DE47" s="96"/>
      <c r="DF47" s="94"/>
      <c r="DG47" s="97"/>
      <c r="DH47" s="93"/>
      <c r="DI47" s="94"/>
      <c r="DJ47" s="95"/>
      <c r="DK47" s="96"/>
      <c r="DL47" s="94"/>
      <c r="DM47" s="95"/>
      <c r="DN47" s="96"/>
      <c r="DO47" s="94"/>
      <c r="DP47" s="95"/>
      <c r="DQ47" s="96"/>
      <c r="DR47" s="94"/>
      <c r="DS47" s="97"/>
      <c r="DT47" s="93"/>
      <c r="DU47" s="94"/>
      <c r="DV47" s="95"/>
      <c r="DW47" s="96"/>
      <c r="DX47" s="94"/>
      <c r="DY47" s="95"/>
      <c r="DZ47" s="96"/>
      <c r="EA47" s="94"/>
      <c r="EB47" s="95"/>
      <c r="EC47" s="96"/>
      <c r="ED47" s="94"/>
      <c r="EE47" s="97"/>
      <c r="EF47" s="93"/>
      <c r="EG47" s="94"/>
      <c r="EH47" s="95"/>
      <c r="EI47" s="96"/>
      <c r="EJ47" s="94"/>
      <c r="EK47" s="95"/>
      <c r="EL47" s="96"/>
      <c r="EM47" s="94"/>
      <c r="EN47" s="95"/>
      <c r="EO47" s="96"/>
      <c r="EP47" s="94"/>
      <c r="EQ47" s="97"/>
      <c r="ER47" s="93"/>
      <c r="ES47" s="94"/>
      <c r="ET47" s="95"/>
      <c r="EU47" s="96"/>
      <c r="EV47" s="94"/>
      <c r="EW47" s="95"/>
      <c r="EX47" s="96"/>
      <c r="EY47" s="94"/>
      <c r="EZ47" s="95"/>
      <c r="FA47" s="96"/>
      <c r="FB47" s="94"/>
      <c r="FC47" s="97"/>
      <c r="FD47" s="93"/>
      <c r="FE47" s="94"/>
      <c r="FF47" s="95"/>
      <c r="FG47" s="96"/>
      <c r="FH47" s="94"/>
      <c r="FI47" s="95"/>
      <c r="FJ47" s="96"/>
      <c r="FK47" s="94"/>
      <c r="FL47" s="95"/>
      <c r="FM47" s="96"/>
      <c r="FN47" s="94"/>
      <c r="FO47" s="97"/>
      <c r="FP47" s="93"/>
      <c r="FQ47" s="94"/>
      <c r="FR47" s="95"/>
      <c r="FS47" s="96"/>
      <c r="FT47" s="94"/>
      <c r="FU47" s="95"/>
      <c r="FV47" s="96"/>
      <c r="FW47" s="94"/>
      <c r="FX47" s="95"/>
      <c r="FY47" s="96"/>
      <c r="FZ47" s="94"/>
      <c r="GA47" s="97"/>
      <c r="GB47" s="93"/>
      <c r="GC47" s="94"/>
      <c r="GD47" s="95"/>
      <c r="GE47" s="96"/>
      <c r="GF47" s="94"/>
      <c r="GG47" s="95"/>
      <c r="GH47" s="96"/>
      <c r="GI47" s="94"/>
      <c r="GJ47" s="95"/>
      <c r="GK47" s="96"/>
      <c r="GL47" s="94"/>
      <c r="GM47" s="97"/>
    </row>
    <row r="48" spans="2:195" ht="19.5" customHeight="1" thickBot="1" x14ac:dyDescent="0.3">
      <c r="B48" s="131"/>
      <c r="C48" s="104">
        <v>0</v>
      </c>
      <c r="D48" s="98"/>
      <c r="E48" s="99"/>
      <c r="F48" s="100"/>
      <c r="G48" s="101"/>
      <c r="H48" s="99"/>
      <c r="I48" s="100"/>
      <c r="J48" s="101"/>
      <c r="K48" s="99"/>
      <c r="L48" s="100"/>
      <c r="M48" s="101"/>
      <c r="N48" s="99"/>
      <c r="O48" s="102"/>
      <c r="P48" s="98"/>
      <c r="Q48" s="99"/>
      <c r="R48" s="100"/>
      <c r="S48" s="101"/>
      <c r="T48" s="99"/>
      <c r="U48" s="100"/>
      <c r="V48" s="101"/>
      <c r="W48" s="99"/>
      <c r="X48" s="100"/>
      <c r="Y48" s="101"/>
      <c r="Z48" s="99"/>
      <c r="AA48" s="102"/>
      <c r="AB48" s="98"/>
      <c r="AC48" s="99"/>
      <c r="AD48" s="100"/>
      <c r="AE48" s="101"/>
      <c r="AF48" s="99"/>
      <c r="AG48" s="100"/>
      <c r="AH48" s="101"/>
      <c r="AI48" s="99"/>
      <c r="AJ48" s="100"/>
      <c r="AK48" s="101"/>
      <c r="AL48" s="99"/>
      <c r="AM48" s="102"/>
      <c r="AN48" s="98"/>
      <c r="AO48" s="99"/>
      <c r="AP48" s="100"/>
      <c r="AQ48" s="101"/>
      <c r="AR48" s="99"/>
      <c r="AS48" s="100"/>
      <c r="AT48" s="101"/>
      <c r="AU48" s="99"/>
      <c r="AV48" s="100"/>
      <c r="AW48" s="101"/>
      <c r="AX48" s="99"/>
      <c r="AY48" s="102"/>
      <c r="AZ48" s="98"/>
      <c r="BA48" s="99"/>
      <c r="BB48" s="100"/>
      <c r="BC48" s="101"/>
      <c r="BD48" s="99"/>
      <c r="BE48" s="100"/>
      <c r="BF48" s="101"/>
      <c r="BG48" s="99"/>
      <c r="BH48" s="100"/>
      <c r="BI48" s="101"/>
      <c r="BJ48" s="99"/>
      <c r="BK48" s="102"/>
      <c r="BL48" s="98"/>
      <c r="BM48" s="99"/>
      <c r="BN48" s="100"/>
      <c r="BO48" s="101"/>
      <c r="BP48" s="99"/>
      <c r="BQ48" s="100"/>
      <c r="BR48" s="101"/>
      <c r="BS48" s="99"/>
      <c r="BT48" s="100"/>
      <c r="BU48" s="101"/>
      <c r="BV48" s="99"/>
      <c r="BW48" s="102"/>
      <c r="BX48" s="98"/>
      <c r="BY48" s="99"/>
      <c r="BZ48" s="100"/>
      <c r="CA48" s="101"/>
      <c r="CB48" s="99"/>
      <c r="CC48" s="100"/>
      <c r="CD48" s="101"/>
      <c r="CE48" s="99"/>
      <c r="CF48" s="100"/>
      <c r="CG48" s="101"/>
      <c r="CH48" s="99"/>
      <c r="CI48" s="102"/>
      <c r="CJ48" s="98"/>
      <c r="CK48" s="99"/>
      <c r="CL48" s="100"/>
      <c r="CM48" s="101"/>
      <c r="CN48" s="99"/>
      <c r="CO48" s="100"/>
      <c r="CP48" s="101"/>
      <c r="CQ48" s="99"/>
      <c r="CR48" s="100"/>
      <c r="CS48" s="101"/>
      <c r="CT48" s="99"/>
      <c r="CU48" s="102"/>
      <c r="CV48" s="98"/>
      <c r="CW48" s="99"/>
      <c r="CX48" s="100"/>
      <c r="CY48" s="101"/>
      <c r="CZ48" s="99"/>
      <c r="DA48" s="100"/>
      <c r="DB48" s="101"/>
      <c r="DC48" s="99"/>
      <c r="DD48" s="100"/>
      <c r="DE48" s="101"/>
      <c r="DF48" s="99"/>
      <c r="DG48" s="102"/>
      <c r="DH48" s="98"/>
      <c r="DI48" s="99"/>
      <c r="DJ48" s="100"/>
      <c r="DK48" s="101"/>
      <c r="DL48" s="99"/>
      <c r="DM48" s="100"/>
      <c r="DN48" s="101"/>
      <c r="DO48" s="99"/>
      <c r="DP48" s="100"/>
      <c r="DQ48" s="101"/>
      <c r="DR48" s="99"/>
      <c r="DS48" s="102"/>
      <c r="DT48" s="98"/>
      <c r="DU48" s="99"/>
      <c r="DV48" s="100"/>
      <c r="DW48" s="101"/>
      <c r="DX48" s="99"/>
      <c r="DY48" s="100"/>
      <c r="DZ48" s="101"/>
      <c r="EA48" s="99"/>
      <c r="EB48" s="100"/>
      <c r="EC48" s="101"/>
      <c r="ED48" s="99"/>
      <c r="EE48" s="102"/>
      <c r="EF48" s="98"/>
      <c r="EG48" s="99"/>
      <c r="EH48" s="100"/>
      <c r="EI48" s="101"/>
      <c r="EJ48" s="99"/>
      <c r="EK48" s="100"/>
      <c r="EL48" s="101"/>
      <c r="EM48" s="99"/>
      <c r="EN48" s="100"/>
      <c r="EO48" s="101"/>
      <c r="EP48" s="99"/>
      <c r="EQ48" s="102"/>
      <c r="ER48" s="98"/>
      <c r="ES48" s="99"/>
      <c r="ET48" s="100"/>
      <c r="EU48" s="101"/>
      <c r="EV48" s="99"/>
      <c r="EW48" s="100"/>
      <c r="EX48" s="101"/>
      <c r="EY48" s="99"/>
      <c r="EZ48" s="100"/>
      <c r="FA48" s="101"/>
      <c r="FB48" s="99"/>
      <c r="FC48" s="102"/>
      <c r="FD48" s="98"/>
      <c r="FE48" s="99"/>
      <c r="FF48" s="100"/>
      <c r="FG48" s="101"/>
      <c r="FH48" s="99"/>
      <c r="FI48" s="100"/>
      <c r="FJ48" s="101"/>
      <c r="FK48" s="99"/>
      <c r="FL48" s="100"/>
      <c r="FM48" s="101"/>
      <c r="FN48" s="99"/>
      <c r="FO48" s="102"/>
      <c r="FP48" s="98"/>
      <c r="FQ48" s="99"/>
      <c r="FR48" s="100"/>
      <c r="FS48" s="101"/>
      <c r="FT48" s="99"/>
      <c r="FU48" s="100"/>
      <c r="FV48" s="101"/>
      <c r="FW48" s="99"/>
      <c r="FX48" s="100"/>
      <c r="FY48" s="101"/>
      <c r="FZ48" s="99"/>
      <c r="GA48" s="102"/>
      <c r="GB48" s="98"/>
      <c r="GC48" s="99"/>
      <c r="GD48" s="100"/>
      <c r="GE48" s="101"/>
      <c r="GF48" s="99"/>
      <c r="GG48" s="100"/>
      <c r="GH48" s="101"/>
      <c r="GI48" s="99"/>
      <c r="GJ48" s="100"/>
      <c r="GK48" s="101"/>
      <c r="GL48" s="99"/>
      <c r="GM48" s="102"/>
    </row>
    <row r="49" spans="2:195" ht="19.5" customHeight="1" x14ac:dyDescent="0.25">
      <c r="B49" s="130" t="str">
        <f>Donnees!$C$43</f>
        <v>Documentation-Code</v>
      </c>
      <c r="C49" s="103">
        <v>0</v>
      </c>
      <c r="D49" s="93"/>
      <c r="E49" s="94"/>
      <c r="F49" s="95"/>
      <c r="G49" s="96"/>
      <c r="H49" s="94"/>
      <c r="I49" s="95"/>
      <c r="J49" s="96"/>
      <c r="K49" s="94"/>
      <c r="L49" s="95"/>
      <c r="M49" s="96"/>
      <c r="N49" s="94"/>
      <c r="O49" s="97"/>
      <c r="P49" s="93"/>
      <c r="Q49" s="94"/>
      <c r="R49" s="95"/>
      <c r="S49" s="96"/>
      <c r="T49" s="94"/>
      <c r="U49" s="95"/>
      <c r="V49" s="96"/>
      <c r="W49" s="94"/>
      <c r="X49" s="95"/>
      <c r="Y49" s="96"/>
      <c r="Z49" s="94"/>
      <c r="AA49" s="97"/>
      <c r="AB49" s="93"/>
      <c r="AC49" s="94"/>
      <c r="AD49" s="95"/>
      <c r="AE49" s="96"/>
      <c r="AF49" s="94"/>
      <c r="AG49" s="95"/>
      <c r="AH49" s="96"/>
      <c r="AI49" s="94"/>
      <c r="AJ49" s="95"/>
      <c r="AK49" s="96"/>
      <c r="AL49" s="94"/>
      <c r="AM49" s="97"/>
      <c r="AN49" s="93"/>
      <c r="AO49" s="94"/>
      <c r="AP49" s="95"/>
      <c r="AQ49" s="96"/>
      <c r="AR49" s="94"/>
      <c r="AS49" s="95"/>
      <c r="AT49" s="96"/>
      <c r="AU49" s="94"/>
      <c r="AV49" s="95"/>
      <c r="AW49" s="96"/>
      <c r="AX49" s="94"/>
      <c r="AY49" s="97"/>
      <c r="AZ49" s="93"/>
      <c r="BA49" s="94"/>
      <c r="BB49" s="95"/>
      <c r="BC49" s="96"/>
      <c r="BD49" s="94"/>
      <c r="BE49" s="95"/>
      <c r="BF49" s="96"/>
      <c r="BG49" s="94"/>
      <c r="BH49" s="95"/>
      <c r="BI49" s="96"/>
      <c r="BJ49" s="94"/>
      <c r="BK49" s="97"/>
      <c r="BL49" s="93"/>
      <c r="BM49" s="94"/>
      <c r="BN49" s="95"/>
      <c r="BO49" s="96"/>
      <c r="BP49" s="94"/>
      <c r="BQ49" s="95"/>
      <c r="BR49" s="96"/>
      <c r="BS49" s="94"/>
      <c r="BT49" s="95"/>
      <c r="BU49" s="96"/>
      <c r="BV49" s="94"/>
      <c r="BW49" s="97"/>
      <c r="BX49" s="93"/>
      <c r="BY49" s="94"/>
      <c r="BZ49" s="95"/>
      <c r="CA49" s="96"/>
      <c r="CB49" s="94"/>
      <c r="CC49" s="95"/>
      <c r="CD49" s="96"/>
      <c r="CE49" s="94"/>
      <c r="CF49" s="95"/>
      <c r="CG49" s="96"/>
      <c r="CH49" s="94"/>
      <c r="CI49" s="97"/>
      <c r="CJ49" s="93"/>
      <c r="CK49" s="94"/>
      <c r="CL49" s="95"/>
      <c r="CM49" s="96"/>
      <c r="CN49" s="94"/>
      <c r="CO49" s="95"/>
      <c r="CP49" s="96"/>
      <c r="CQ49" s="94"/>
      <c r="CR49" s="95"/>
      <c r="CS49" s="96"/>
      <c r="CT49" s="94"/>
      <c r="CU49" s="97"/>
      <c r="CV49" s="93"/>
      <c r="CW49" s="94"/>
      <c r="CX49" s="95"/>
      <c r="CY49" s="96"/>
      <c r="CZ49" s="94"/>
      <c r="DA49" s="95"/>
      <c r="DB49" s="96"/>
      <c r="DC49" s="94"/>
      <c r="DD49" s="95"/>
      <c r="DE49" s="96"/>
      <c r="DF49" s="94"/>
      <c r="DG49" s="97"/>
      <c r="DH49" s="93"/>
      <c r="DI49" s="94"/>
      <c r="DJ49" s="95"/>
      <c r="DK49" s="96"/>
      <c r="DL49" s="94"/>
      <c r="DM49" s="95"/>
      <c r="DN49" s="96"/>
      <c r="DO49" s="94"/>
      <c r="DP49" s="95"/>
      <c r="DQ49" s="96"/>
      <c r="DR49" s="94"/>
      <c r="DS49" s="97"/>
      <c r="DT49" s="93"/>
      <c r="DU49" s="94"/>
      <c r="DV49" s="95"/>
      <c r="DW49" s="96"/>
      <c r="DX49" s="94"/>
      <c r="DY49" s="95"/>
      <c r="DZ49" s="96"/>
      <c r="EA49" s="94"/>
      <c r="EB49" s="95"/>
      <c r="EC49" s="96"/>
      <c r="ED49" s="94"/>
      <c r="EE49" s="97"/>
      <c r="EF49" s="93"/>
      <c r="EG49" s="94"/>
      <c r="EH49" s="95"/>
      <c r="EI49" s="96"/>
      <c r="EJ49" s="94"/>
      <c r="EK49" s="95"/>
      <c r="EL49" s="96"/>
      <c r="EM49" s="94"/>
      <c r="EN49" s="95"/>
      <c r="EO49" s="96"/>
      <c r="EP49" s="94"/>
      <c r="EQ49" s="97"/>
      <c r="ER49" s="93"/>
      <c r="ES49" s="94"/>
      <c r="ET49" s="95"/>
      <c r="EU49" s="96"/>
      <c r="EV49" s="94"/>
      <c r="EW49" s="95"/>
      <c r="EX49" s="96"/>
      <c r="EY49" s="94"/>
      <c r="EZ49" s="95"/>
      <c r="FA49" s="96"/>
      <c r="FB49" s="94"/>
      <c r="FC49" s="97"/>
      <c r="FD49" s="93"/>
      <c r="FE49" s="94"/>
      <c r="FF49" s="95"/>
      <c r="FG49" s="96"/>
      <c r="FH49" s="94"/>
      <c r="FI49" s="95"/>
      <c r="FJ49" s="96"/>
      <c r="FK49" s="94"/>
      <c r="FL49" s="95"/>
      <c r="FM49" s="96"/>
      <c r="FN49" s="94"/>
      <c r="FO49" s="97"/>
      <c r="FP49" s="93"/>
      <c r="FQ49" s="94"/>
      <c r="FR49" s="95"/>
      <c r="FS49" s="96"/>
      <c r="FT49" s="94"/>
      <c r="FU49" s="95"/>
      <c r="FV49" s="96"/>
      <c r="FW49" s="94"/>
      <c r="FX49" s="95"/>
      <c r="FY49" s="96"/>
      <c r="FZ49" s="94"/>
      <c r="GA49" s="97"/>
      <c r="GB49" s="93"/>
      <c r="GC49" s="94"/>
      <c r="GD49" s="95"/>
      <c r="GE49" s="96"/>
      <c r="GF49" s="94"/>
      <c r="GG49" s="95"/>
      <c r="GH49" s="96"/>
      <c r="GI49" s="94"/>
      <c r="GJ49" s="95"/>
      <c r="GK49" s="96"/>
      <c r="GL49" s="94"/>
      <c r="GM49" s="97"/>
    </row>
    <row r="50" spans="2:195" ht="19.5" customHeight="1" thickBot="1" x14ac:dyDescent="0.3">
      <c r="B50" s="131"/>
      <c r="C50" s="104">
        <v>0</v>
      </c>
      <c r="D50" s="98"/>
      <c r="E50" s="99"/>
      <c r="F50" s="100"/>
      <c r="G50" s="101"/>
      <c r="H50" s="99"/>
      <c r="I50" s="100"/>
      <c r="J50" s="101"/>
      <c r="K50" s="99"/>
      <c r="L50" s="100"/>
      <c r="M50" s="101"/>
      <c r="N50" s="99"/>
      <c r="O50" s="102"/>
      <c r="P50" s="98"/>
      <c r="Q50" s="99"/>
      <c r="R50" s="100"/>
      <c r="S50" s="101"/>
      <c r="T50" s="99"/>
      <c r="U50" s="100"/>
      <c r="V50" s="101"/>
      <c r="W50" s="99"/>
      <c r="X50" s="100"/>
      <c r="Y50" s="101"/>
      <c r="Z50" s="99"/>
      <c r="AA50" s="102"/>
      <c r="AB50" s="98"/>
      <c r="AC50" s="99"/>
      <c r="AD50" s="100"/>
      <c r="AE50" s="101"/>
      <c r="AF50" s="99"/>
      <c r="AG50" s="100"/>
      <c r="AH50" s="101"/>
      <c r="AI50" s="99"/>
      <c r="AJ50" s="100"/>
      <c r="AK50" s="101"/>
      <c r="AL50" s="99"/>
      <c r="AM50" s="102"/>
      <c r="AN50" s="98"/>
      <c r="AO50" s="99"/>
      <c r="AP50" s="100"/>
      <c r="AQ50" s="101"/>
      <c r="AR50" s="99"/>
      <c r="AS50" s="100"/>
      <c r="AT50" s="101"/>
      <c r="AU50" s="99"/>
      <c r="AV50" s="100"/>
      <c r="AW50" s="101"/>
      <c r="AX50" s="99"/>
      <c r="AY50" s="102"/>
      <c r="AZ50" s="98"/>
      <c r="BA50" s="99"/>
      <c r="BB50" s="100"/>
      <c r="BC50" s="101"/>
      <c r="BD50" s="99"/>
      <c r="BE50" s="100"/>
      <c r="BF50" s="101"/>
      <c r="BG50" s="99"/>
      <c r="BH50" s="100"/>
      <c r="BI50" s="101"/>
      <c r="BJ50" s="99"/>
      <c r="BK50" s="102"/>
      <c r="BL50" s="98"/>
      <c r="BM50" s="99"/>
      <c r="BN50" s="100"/>
      <c r="BO50" s="101"/>
      <c r="BP50" s="99"/>
      <c r="BQ50" s="100"/>
      <c r="BR50" s="101"/>
      <c r="BS50" s="99"/>
      <c r="BT50" s="100"/>
      <c r="BU50" s="101"/>
      <c r="BV50" s="99"/>
      <c r="BW50" s="102"/>
      <c r="BX50" s="98"/>
      <c r="BY50" s="99"/>
      <c r="BZ50" s="100"/>
      <c r="CA50" s="101"/>
      <c r="CB50" s="99"/>
      <c r="CC50" s="100"/>
      <c r="CD50" s="101"/>
      <c r="CE50" s="99"/>
      <c r="CF50" s="100"/>
      <c r="CG50" s="101"/>
      <c r="CH50" s="99"/>
      <c r="CI50" s="102"/>
      <c r="CJ50" s="98"/>
      <c r="CK50" s="99"/>
      <c r="CL50" s="100"/>
      <c r="CM50" s="101"/>
      <c r="CN50" s="99"/>
      <c r="CO50" s="100"/>
      <c r="CP50" s="101"/>
      <c r="CQ50" s="99"/>
      <c r="CR50" s="100"/>
      <c r="CS50" s="101"/>
      <c r="CT50" s="99"/>
      <c r="CU50" s="102"/>
      <c r="CV50" s="98"/>
      <c r="CW50" s="99"/>
      <c r="CX50" s="100"/>
      <c r="CY50" s="101"/>
      <c r="CZ50" s="99"/>
      <c r="DA50" s="100"/>
      <c r="DB50" s="101"/>
      <c r="DC50" s="99"/>
      <c r="DD50" s="100"/>
      <c r="DE50" s="101"/>
      <c r="DF50" s="99"/>
      <c r="DG50" s="102"/>
      <c r="DH50" s="98"/>
      <c r="DI50" s="99"/>
      <c r="DJ50" s="100"/>
      <c r="DK50" s="101"/>
      <c r="DL50" s="99"/>
      <c r="DM50" s="100"/>
      <c r="DN50" s="101"/>
      <c r="DO50" s="99"/>
      <c r="DP50" s="100"/>
      <c r="DQ50" s="101"/>
      <c r="DR50" s="99"/>
      <c r="DS50" s="102"/>
      <c r="DT50" s="98"/>
      <c r="DU50" s="99"/>
      <c r="DV50" s="100"/>
      <c r="DW50" s="101"/>
      <c r="DX50" s="99"/>
      <c r="DY50" s="100"/>
      <c r="DZ50" s="101"/>
      <c r="EA50" s="99"/>
      <c r="EB50" s="100"/>
      <c r="EC50" s="101"/>
      <c r="ED50" s="99"/>
      <c r="EE50" s="102"/>
      <c r="EF50" s="98"/>
      <c r="EG50" s="99"/>
      <c r="EH50" s="100"/>
      <c r="EI50" s="101"/>
      <c r="EJ50" s="99"/>
      <c r="EK50" s="100"/>
      <c r="EL50" s="101"/>
      <c r="EM50" s="99"/>
      <c r="EN50" s="100"/>
      <c r="EO50" s="101"/>
      <c r="EP50" s="99"/>
      <c r="EQ50" s="102"/>
      <c r="ER50" s="98"/>
      <c r="ES50" s="99"/>
      <c r="ET50" s="100"/>
      <c r="EU50" s="101"/>
      <c r="EV50" s="99"/>
      <c r="EW50" s="100"/>
      <c r="EX50" s="101"/>
      <c r="EY50" s="99"/>
      <c r="EZ50" s="100"/>
      <c r="FA50" s="101"/>
      <c r="FB50" s="99"/>
      <c r="FC50" s="102"/>
      <c r="FD50" s="98"/>
      <c r="FE50" s="99"/>
      <c r="FF50" s="100"/>
      <c r="FG50" s="101"/>
      <c r="FH50" s="99"/>
      <c r="FI50" s="100"/>
      <c r="FJ50" s="101"/>
      <c r="FK50" s="99"/>
      <c r="FL50" s="100"/>
      <c r="FM50" s="101"/>
      <c r="FN50" s="99"/>
      <c r="FO50" s="102"/>
      <c r="FP50" s="98"/>
      <c r="FQ50" s="99"/>
      <c r="FR50" s="100"/>
      <c r="FS50" s="101"/>
      <c r="FT50" s="99"/>
      <c r="FU50" s="100"/>
      <c r="FV50" s="101"/>
      <c r="FW50" s="99"/>
      <c r="FX50" s="100"/>
      <c r="FY50" s="101"/>
      <c r="FZ50" s="99"/>
      <c r="GA50" s="102"/>
      <c r="GB50" s="98"/>
      <c r="GC50" s="99"/>
      <c r="GD50" s="100"/>
      <c r="GE50" s="101"/>
      <c r="GF50" s="99"/>
      <c r="GG50" s="100"/>
      <c r="GH50" s="101"/>
      <c r="GI50" s="99"/>
      <c r="GJ50" s="100"/>
      <c r="GK50" s="101"/>
      <c r="GL50" s="99"/>
      <c r="GM50" s="102"/>
    </row>
    <row r="51" spans="2:195" ht="19.5" customHeight="1" x14ac:dyDescent="0.25">
      <c r="B51" s="130" t="str">
        <f>Donnees!$C$44</f>
        <v>Documentation-ModeEmploi</v>
      </c>
      <c r="C51" s="103">
        <v>0</v>
      </c>
      <c r="D51" s="93"/>
      <c r="E51" s="94"/>
      <c r="F51" s="95"/>
      <c r="G51" s="96"/>
      <c r="H51" s="94"/>
      <c r="I51" s="95"/>
      <c r="J51" s="96"/>
      <c r="K51" s="94"/>
      <c r="L51" s="95"/>
      <c r="M51" s="96"/>
      <c r="N51" s="94"/>
      <c r="O51" s="97"/>
      <c r="P51" s="93"/>
      <c r="Q51" s="94"/>
      <c r="R51" s="95"/>
      <c r="S51" s="96"/>
      <c r="T51" s="94"/>
      <c r="U51" s="95"/>
      <c r="V51" s="96"/>
      <c r="W51" s="94"/>
      <c r="X51" s="95"/>
      <c r="Y51" s="96"/>
      <c r="Z51" s="94"/>
      <c r="AA51" s="97"/>
      <c r="AB51" s="93"/>
      <c r="AC51" s="94"/>
      <c r="AD51" s="95"/>
      <c r="AE51" s="96"/>
      <c r="AF51" s="94"/>
      <c r="AG51" s="95"/>
      <c r="AH51" s="96"/>
      <c r="AI51" s="94"/>
      <c r="AJ51" s="95"/>
      <c r="AK51" s="96"/>
      <c r="AL51" s="94"/>
      <c r="AM51" s="97"/>
      <c r="AN51" s="93"/>
      <c r="AO51" s="94"/>
      <c r="AP51" s="95"/>
      <c r="AQ51" s="96"/>
      <c r="AR51" s="94"/>
      <c r="AS51" s="95"/>
      <c r="AT51" s="96"/>
      <c r="AU51" s="94"/>
      <c r="AV51" s="95"/>
      <c r="AW51" s="96"/>
      <c r="AX51" s="94"/>
      <c r="AY51" s="97"/>
      <c r="AZ51" s="93"/>
      <c r="BA51" s="94"/>
      <c r="BB51" s="95"/>
      <c r="BC51" s="96"/>
      <c r="BD51" s="94"/>
      <c r="BE51" s="95"/>
      <c r="BF51" s="96"/>
      <c r="BG51" s="94"/>
      <c r="BH51" s="95"/>
      <c r="BI51" s="96"/>
      <c r="BJ51" s="94"/>
      <c r="BK51" s="97"/>
      <c r="BL51" s="93"/>
      <c r="BM51" s="94"/>
      <c r="BN51" s="95"/>
      <c r="BO51" s="96"/>
      <c r="BP51" s="94"/>
      <c r="BQ51" s="95"/>
      <c r="BR51" s="96"/>
      <c r="BS51" s="94"/>
      <c r="BT51" s="95"/>
      <c r="BU51" s="96"/>
      <c r="BV51" s="94"/>
      <c r="BW51" s="97"/>
      <c r="BX51" s="93"/>
      <c r="BY51" s="94"/>
      <c r="BZ51" s="95"/>
      <c r="CA51" s="96"/>
      <c r="CB51" s="94"/>
      <c r="CC51" s="95"/>
      <c r="CD51" s="96"/>
      <c r="CE51" s="94"/>
      <c r="CF51" s="95"/>
      <c r="CG51" s="96"/>
      <c r="CH51" s="94"/>
      <c r="CI51" s="97"/>
      <c r="CJ51" s="93"/>
      <c r="CK51" s="94"/>
      <c r="CL51" s="95"/>
      <c r="CM51" s="96"/>
      <c r="CN51" s="94"/>
      <c r="CO51" s="95"/>
      <c r="CP51" s="96"/>
      <c r="CQ51" s="94"/>
      <c r="CR51" s="95"/>
      <c r="CS51" s="96"/>
      <c r="CT51" s="94"/>
      <c r="CU51" s="97"/>
      <c r="CV51" s="93"/>
      <c r="CW51" s="94"/>
      <c r="CX51" s="95"/>
      <c r="CY51" s="96"/>
      <c r="CZ51" s="94"/>
      <c r="DA51" s="95"/>
      <c r="DB51" s="96"/>
      <c r="DC51" s="94"/>
      <c r="DD51" s="95"/>
      <c r="DE51" s="96"/>
      <c r="DF51" s="94"/>
      <c r="DG51" s="97"/>
      <c r="DH51" s="93"/>
      <c r="DI51" s="94"/>
      <c r="DJ51" s="95"/>
      <c r="DK51" s="96"/>
      <c r="DL51" s="94"/>
      <c r="DM51" s="95"/>
      <c r="DN51" s="96"/>
      <c r="DO51" s="94"/>
      <c r="DP51" s="95"/>
      <c r="DQ51" s="96"/>
      <c r="DR51" s="94"/>
      <c r="DS51" s="97"/>
      <c r="DT51" s="93"/>
      <c r="DU51" s="94"/>
      <c r="DV51" s="95"/>
      <c r="DW51" s="96"/>
      <c r="DX51" s="94"/>
      <c r="DY51" s="95"/>
      <c r="DZ51" s="96"/>
      <c r="EA51" s="94"/>
      <c r="EB51" s="95"/>
      <c r="EC51" s="96"/>
      <c r="ED51" s="94"/>
      <c r="EE51" s="97"/>
      <c r="EF51" s="93"/>
      <c r="EG51" s="94"/>
      <c r="EH51" s="95"/>
      <c r="EI51" s="96"/>
      <c r="EJ51" s="94"/>
      <c r="EK51" s="95"/>
      <c r="EL51" s="96"/>
      <c r="EM51" s="94"/>
      <c r="EN51" s="95"/>
      <c r="EO51" s="96"/>
      <c r="EP51" s="94"/>
      <c r="EQ51" s="97"/>
      <c r="ER51" s="93"/>
      <c r="ES51" s="94"/>
      <c r="ET51" s="95"/>
      <c r="EU51" s="96"/>
      <c r="EV51" s="94"/>
      <c r="EW51" s="95"/>
      <c r="EX51" s="96"/>
      <c r="EY51" s="94"/>
      <c r="EZ51" s="95"/>
      <c r="FA51" s="96"/>
      <c r="FB51" s="94"/>
      <c r="FC51" s="97"/>
      <c r="FD51" s="93"/>
      <c r="FE51" s="94"/>
      <c r="FF51" s="95"/>
      <c r="FG51" s="96"/>
      <c r="FH51" s="94"/>
      <c r="FI51" s="95"/>
      <c r="FJ51" s="96"/>
      <c r="FK51" s="94"/>
      <c r="FL51" s="95"/>
      <c r="FM51" s="96"/>
      <c r="FN51" s="94"/>
      <c r="FO51" s="97"/>
      <c r="FP51" s="93"/>
      <c r="FQ51" s="94"/>
      <c r="FR51" s="95"/>
      <c r="FS51" s="96"/>
      <c r="FT51" s="94"/>
      <c r="FU51" s="95"/>
      <c r="FV51" s="96"/>
      <c r="FW51" s="94"/>
      <c r="FX51" s="95"/>
      <c r="FY51" s="96"/>
      <c r="FZ51" s="94"/>
      <c r="GA51" s="97"/>
      <c r="GB51" s="93"/>
      <c r="GC51" s="94"/>
      <c r="GD51" s="95"/>
      <c r="GE51" s="96"/>
      <c r="GF51" s="94"/>
      <c r="GG51" s="95"/>
      <c r="GH51" s="96"/>
      <c r="GI51" s="94"/>
      <c r="GJ51" s="95"/>
      <c r="GK51" s="96"/>
      <c r="GL51" s="94"/>
      <c r="GM51" s="97"/>
    </row>
    <row r="52" spans="2:195" ht="19.5" customHeight="1" x14ac:dyDescent="0.25">
      <c r="B52" s="131"/>
      <c r="C52" s="104">
        <v>0</v>
      </c>
      <c r="D52" s="98"/>
      <c r="E52" s="99"/>
      <c r="F52" s="100"/>
      <c r="G52" s="101"/>
      <c r="H52" s="99"/>
      <c r="I52" s="100"/>
      <c r="J52" s="101"/>
      <c r="K52" s="99"/>
      <c r="L52" s="100"/>
      <c r="M52" s="101"/>
      <c r="N52" s="99"/>
      <c r="O52" s="102"/>
      <c r="P52" s="98"/>
      <c r="Q52" s="99"/>
      <c r="R52" s="100"/>
      <c r="S52" s="101"/>
      <c r="T52" s="99"/>
      <c r="U52" s="100"/>
      <c r="V52" s="101"/>
      <c r="W52" s="99"/>
      <c r="X52" s="100"/>
      <c r="Y52" s="101"/>
      <c r="Z52" s="99"/>
      <c r="AA52" s="102"/>
      <c r="AB52" s="98"/>
      <c r="AC52" s="99"/>
      <c r="AD52" s="100"/>
      <c r="AE52" s="101"/>
      <c r="AF52" s="99"/>
      <c r="AG52" s="100"/>
      <c r="AH52" s="101"/>
      <c r="AI52" s="99"/>
      <c r="AJ52" s="100"/>
      <c r="AK52" s="101"/>
      <c r="AL52" s="99"/>
      <c r="AM52" s="102"/>
      <c r="AN52" s="98"/>
      <c r="AO52" s="99"/>
      <c r="AP52" s="100"/>
      <c r="AQ52" s="101"/>
      <c r="AR52" s="99"/>
      <c r="AS52" s="100"/>
      <c r="AT52" s="101"/>
      <c r="AU52" s="99"/>
      <c r="AV52" s="100"/>
      <c r="AW52" s="101"/>
      <c r="AX52" s="99"/>
      <c r="AY52" s="102"/>
      <c r="AZ52" s="98"/>
      <c r="BA52" s="99"/>
      <c r="BB52" s="100"/>
      <c r="BC52" s="101"/>
      <c r="BD52" s="99"/>
      <c r="BE52" s="100"/>
      <c r="BF52" s="101"/>
      <c r="BG52" s="99"/>
      <c r="BH52" s="100"/>
      <c r="BI52" s="101"/>
      <c r="BJ52" s="99"/>
      <c r="BK52" s="102"/>
      <c r="BL52" s="98"/>
      <c r="BM52" s="99"/>
      <c r="BN52" s="100"/>
      <c r="BO52" s="101"/>
      <c r="BP52" s="99"/>
      <c r="BQ52" s="100"/>
      <c r="BR52" s="101"/>
      <c r="BS52" s="99"/>
      <c r="BT52" s="100"/>
      <c r="BU52" s="101"/>
      <c r="BV52" s="99"/>
      <c r="BW52" s="102"/>
      <c r="BX52" s="98"/>
      <c r="BY52" s="99"/>
      <c r="BZ52" s="100"/>
      <c r="CA52" s="101"/>
      <c r="CB52" s="99"/>
      <c r="CC52" s="100"/>
      <c r="CD52" s="101"/>
      <c r="CE52" s="99"/>
      <c r="CF52" s="100"/>
      <c r="CG52" s="101"/>
      <c r="CH52" s="99"/>
      <c r="CI52" s="102"/>
      <c r="CJ52" s="98"/>
      <c r="CK52" s="99"/>
      <c r="CL52" s="100"/>
      <c r="CM52" s="101"/>
      <c r="CN52" s="99"/>
      <c r="CO52" s="100"/>
      <c r="CP52" s="101"/>
      <c r="CQ52" s="99"/>
      <c r="CR52" s="100"/>
      <c r="CS52" s="101"/>
      <c r="CT52" s="99"/>
      <c r="CU52" s="102"/>
      <c r="CV52" s="98"/>
      <c r="CW52" s="99"/>
      <c r="CX52" s="100"/>
      <c r="CY52" s="101"/>
      <c r="CZ52" s="99"/>
      <c r="DA52" s="100"/>
      <c r="DB52" s="101"/>
      <c r="DC52" s="99"/>
      <c r="DD52" s="100"/>
      <c r="DE52" s="101"/>
      <c r="DF52" s="99"/>
      <c r="DG52" s="102"/>
      <c r="DH52" s="98"/>
      <c r="DI52" s="99"/>
      <c r="DJ52" s="100"/>
      <c r="DK52" s="101"/>
      <c r="DL52" s="99"/>
      <c r="DM52" s="100"/>
      <c r="DN52" s="101"/>
      <c r="DO52" s="99"/>
      <c r="DP52" s="100"/>
      <c r="DQ52" s="101"/>
      <c r="DR52" s="99"/>
      <c r="DS52" s="102"/>
      <c r="DT52" s="98"/>
      <c r="DU52" s="99"/>
      <c r="DV52" s="100"/>
      <c r="DW52" s="101"/>
      <c r="DX52" s="99"/>
      <c r="DY52" s="100"/>
      <c r="DZ52" s="101"/>
      <c r="EA52" s="99"/>
      <c r="EB52" s="100"/>
      <c r="EC52" s="101"/>
      <c r="ED52" s="99"/>
      <c r="EE52" s="102"/>
      <c r="EF52" s="98"/>
      <c r="EG52" s="99"/>
      <c r="EH52" s="100"/>
      <c r="EI52" s="101"/>
      <c r="EJ52" s="99"/>
      <c r="EK52" s="100"/>
      <c r="EL52" s="101"/>
      <c r="EM52" s="99"/>
      <c r="EN52" s="100"/>
      <c r="EO52" s="101"/>
      <c r="EP52" s="99"/>
      <c r="EQ52" s="102"/>
      <c r="ER52" s="98"/>
      <c r="ES52" s="99"/>
      <c r="ET52" s="100"/>
      <c r="EU52" s="101"/>
      <c r="EV52" s="99"/>
      <c r="EW52" s="100"/>
      <c r="EX52" s="101"/>
      <c r="EY52" s="99"/>
      <c r="EZ52" s="100"/>
      <c r="FA52" s="101"/>
      <c r="FB52" s="99"/>
      <c r="FC52" s="102"/>
      <c r="FD52" s="98"/>
      <c r="FE52" s="99"/>
      <c r="FF52" s="100"/>
      <c r="FG52" s="101"/>
      <c r="FH52" s="99"/>
      <c r="FI52" s="100"/>
      <c r="FJ52" s="101"/>
      <c r="FK52" s="99"/>
      <c r="FL52" s="100"/>
      <c r="FM52" s="101"/>
      <c r="FN52" s="99"/>
      <c r="FO52" s="102"/>
      <c r="FP52" s="98"/>
      <c r="FQ52" s="99"/>
      <c r="FR52" s="100"/>
      <c r="FS52" s="101"/>
      <c r="FT52" s="99"/>
      <c r="FU52" s="100"/>
      <c r="FV52" s="101"/>
      <c r="FW52" s="99"/>
      <c r="FX52" s="100"/>
      <c r="FY52" s="101"/>
      <c r="FZ52" s="99"/>
      <c r="GA52" s="102"/>
      <c r="GB52" s="98"/>
      <c r="GC52" s="99"/>
      <c r="GD52" s="100"/>
      <c r="GE52" s="101"/>
      <c r="GF52" s="99"/>
      <c r="GG52" s="100"/>
      <c r="GH52" s="101"/>
      <c r="GI52" s="99"/>
      <c r="GJ52" s="100"/>
      <c r="GK52" s="101"/>
      <c r="GL52" s="99"/>
      <c r="GM52" s="102"/>
    </row>
    <row r="53" spans="2:195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120</v>
      </c>
      <c r="D53" s="106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8"/>
      <c r="P53" s="106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8"/>
      <c r="AB53" s="106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8"/>
      <c r="AN53" s="106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8"/>
      <c r="AZ53" s="106"/>
      <c r="BA53" s="107"/>
      <c r="BB53" s="107"/>
      <c r="BC53" s="107"/>
      <c r="BD53" s="107"/>
      <c r="BE53" s="107"/>
      <c r="BF53" s="107"/>
      <c r="BG53" s="107"/>
      <c r="BH53" s="107"/>
      <c r="BI53" s="107"/>
      <c r="BJ53" s="107"/>
      <c r="BK53" s="108"/>
      <c r="BL53" s="106"/>
      <c r="BM53" s="107"/>
      <c r="BN53" s="107"/>
      <c r="BO53" s="107"/>
      <c r="BP53" s="107"/>
      <c r="BQ53" s="107"/>
      <c r="BR53" s="107"/>
      <c r="BS53" s="107"/>
      <c r="BT53" s="107"/>
      <c r="BU53" s="107"/>
      <c r="BV53" s="107"/>
      <c r="BW53" s="108"/>
      <c r="BX53" s="106"/>
      <c r="BY53" s="107"/>
      <c r="BZ53" s="107"/>
      <c r="CA53" s="107"/>
      <c r="CB53" s="107"/>
      <c r="CC53" s="107"/>
      <c r="CD53" s="107"/>
      <c r="CE53" s="107"/>
      <c r="CF53" s="107"/>
      <c r="CG53" s="107"/>
      <c r="CH53" s="107"/>
      <c r="CI53" s="108"/>
      <c r="CJ53" s="106"/>
      <c r="CK53" s="107"/>
      <c r="CL53" s="107"/>
      <c r="CM53" s="107"/>
      <c r="CN53" s="107"/>
      <c r="CO53" s="107"/>
      <c r="CP53" s="107"/>
      <c r="CQ53" s="107"/>
      <c r="CR53" s="107"/>
      <c r="CS53" s="107"/>
      <c r="CT53" s="107"/>
      <c r="CU53" s="108"/>
      <c r="CV53" s="106"/>
      <c r="CW53" s="107"/>
      <c r="CX53" s="107"/>
      <c r="CY53" s="107"/>
      <c r="CZ53" s="107"/>
      <c r="DA53" s="107"/>
      <c r="DB53" s="107"/>
      <c r="DC53" s="107"/>
      <c r="DD53" s="107"/>
      <c r="DE53" s="107"/>
      <c r="DF53" s="107"/>
      <c r="DG53" s="108"/>
      <c r="DH53" s="106"/>
      <c r="DI53" s="107"/>
      <c r="DJ53" s="107"/>
      <c r="DK53" s="107"/>
      <c r="DL53" s="107"/>
      <c r="DM53" s="107"/>
      <c r="DN53" s="107"/>
      <c r="DO53" s="107"/>
      <c r="DP53" s="107"/>
      <c r="DQ53" s="107"/>
      <c r="DR53" s="107"/>
      <c r="DS53" s="108"/>
      <c r="DT53" s="106"/>
      <c r="DU53" s="107"/>
      <c r="DV53" s="107"/>
      <c r="DW53" s="107"/>
      <c r="DX53" s="107"/>
      <c r="DY53" s="107"/>
      <c r="DZ53" s="107"/>
      <c r="EA53" s="107"/>
      <c r="EB53" s="107"/>
      <c r="EC53" s="107"/>
      <c r="ED53" s="107"/>
      <c r="EE53" s="108"/>
      <c r="EF53" s="106"/>
      <c r="EG53" s="107"/>
      <c r="EH53" s="107"/>
      <c r="EI53" s="107"/>
      <c r="EJ53" s="107"/>
      <c r="EK53" s="107"/>
      <c r="EL53" s="107"/>
      <c r="EM53" s="107"/>
      <c r="EN53" s="107"/>
      <c r="EO53" s="107"/>
      <c r="EP53" s="107"/>
      <c r="EQ53" s="108"/>
      <c r="ER53" s="106"/>
      <c r="ES53" s="107"/>
      <c r="ET53" s="107"/>
      <c r="EU53" s="107"/>
      <c r="EV53" s="107"/>
      <c r="EW53" s="107"/>
      <c r="EX53" s="107"/>
      <c r="EY53" s="107"/>
      <c r="EZ53" s="107"/>
      <c r="FA53" s="107"/>
      <c r="FB53" s="107"/>
      <c r="FC53" s="108"/>
      <c r="FD53" s="106"/>
      <c r="FE53" s="107"/>
      <c r="FF53" s="107"/>
      <c r="FG53" s="107"/>
      <c r="FH53" s="107"/>
      <c r="FI53" s="107"/>
      <c r="FJ53" s="107"/>
      <c r="FK53" s="107"/>
      <c r="FL53" s="107"/>
      <c r="FM53" s="107"/>
      <c r="FN53" s="107"/>
      <c r="FO53" s="108"/>
      <c r="FP53" s="106"/>
      <c r="FQ53" s="107"/>
      <c r="FR53" s="107"/>
      <c r="FS53" s="107"/>
      <c r="FT53" s="107"/>
      <c r="FU53" s="107"/>
      <c r="FV53" s="107"/>
      <c r="FW53" s="107"/>
      <c r="FX53" s="107"/>
      <c r="FY53" s="107"/>
      <c r="FZ53" s="107"/>
      <c r="GA53" s="108"/>
      <c r="GB53" s="106"/>
      <c r="GC53" s="107"/>
      <c r="GD53" s="107"/>
      <c r="GE53" s="107"/>
      <c r="GF53" s="107"/>
      <c r="GG53" s="107"/>
      <c r="GH53" s="107"/>
      <c r="GI53" s="107"/>
      <c r="GJ53" s="107"/>
      <c r="GK53" s="107"/>
      <c r="GL53" s="107"/>
      <c r="GM53" s="108"/>
    </row>
    <row r="54" spans="2:195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120</v>
      </c>
      <c r="D54" s="109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1"/>
      <c r="P54" s="109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1"/>
      <c r="AB54" s="109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1"/>
      <c r="AN54" s="109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1"/>
      <c r="AZ54" s="109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1"/>
      <c r="BL54" s="109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1"/>
      <c r="BX54" s="109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1"/>
      <c r="CJ54" s="109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1"/>
      <c r="CV54" s="109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1"/>
      <c r="DH54" s="109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1"/>
      <c r="DT54" s="109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1"/>
      <c r="EF54" s="109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1"/>
      <c r="ER54" s="109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1"/>
      <c r="FD54" s="109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1"/>
      <c r="FP54" s="109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1"/>
      <c r="GB54" s="109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1"/>
    </row>
  </sheetData>
  <sheetProtection sheet="1" objects="1" scenarios="1" insertRows="0" selectLockedCells="1"/>
  <mergeCells count="41">
    <mergeCell ref="B13:B14"/>
    <mergeCell ref="B3:B4"/>
    <mergeCell ref="B5:B6"/>
    <mergeCell ref="B7:B8"/>
    <mergeCell ref="B9:B10"/>
    <mergeCell ref="B11:B1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DT2:EE2"/>
    <mergeCell ref="B51:B52"/>
    <mergeCell ref="D2:O2"/>
    <mergeCell ref="P2:AA2"/>
    <mergeCell ref="AB2:AM2"/>
    <mergeCell ref="AN2:AY2"/>
    <mergeCell ref="AZ2:BK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L2:BW2"/>
    <mergeCell ref="BX2:CI2"/>
    <mergeCell ref="CJ2:CU2"/>
    <mergeCell ref="CV2:DG2"/>
    <mergeCell ref="DH2:DS2"/>
    <mergeCell ref="EF2:EQ2"/>
    <mergeCell ref="ER2:FC2"/>
    <mergeCell ref="FD2:FO2"/>
    <mergeCell ref="FP2:GA2"/>
    <mergeCell ref="GB2:GM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2" t="s">
        <v>21</v>
      </c>
      <c r="C3" s="16">
        <v>0</v>
      </c>
    </row>
    <row r="4" spans="1:4" ht="19.5" customHeight="1" x14ac:dyDescent="0.25">
      <c r="A4" s="19"/>
      <c r="B4" s="13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abSelected="1" topLeftCell="A127" workbookViewId="0">
      <selection activeCell="C146" sqref="C14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4" s="53" customFormat="1" x14ac:dyDescent="0.25">
      <c r="A4" s="1" t="s">
        <v>27</v>
      </c>
      <c r="B4" s="2">
        <v>7</v>
      </c>
      <c r="C4" s="114" t="s">
        <v>71</v>
      </c>
      <c r="D4" s="10"/>
    </row>
    <row r="5" spans="1:4" s="53" customFormat="1" x14ac:dyDescent="0.25">
      <c r="A5" s="1" t="s">
        <v>32</v>
      </c>
      <c r="B5" s="2">
        <v>3</v>
      </c>
      <c r="C5" s="114" t="s">
        <v>72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26</v>
      </c>
      <c r="B17" s="4">
        <v>1</v>
      </c>
      <c r="C17" s="113" t="s">
        <v>73</v>
      </c>
      <c r="D17" s="9"/>
    </row>
    <row r="18" spans="1:9" x14ac:dyDescent="0.25">
      <c r="A18" s="1" t="s">
        <v>27</v>
      </c>
      <c r="B18" s="2">
        <v>6</v>
      </c>
      <c r="C18" s="114" t="s">
        <v>74</v>
      </c>
      <c r="D18" s="10"/>
    </row>
    <row r="19" spans="1:9" x14ac:dyDescent="0.25">
      <c r="A19" s="1" t="s">
        <v>29</v>
      </c>
      <c r="B19" s="2">
        <v>4</v>
      </c>
      <c r="C19" s="114" t="s">
        <v>75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26</v>
      </c>
      <c r="B20" s="2">
        <v>1</v>
      </c>
      <c r="C20" s="114" t="s">
        <v>76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27</v>
      </c>
      <c r="B31" s="4">
        <v>3</v>
      </c>
      <c r="C31" s="113" t="s">
        <v>79</v>
      </c>
      <c r="D31" s="9"/>
      <c r="E31" s="20"/>
      <c r="F31" s="41"/>
      <c r="G31" s="41"/>
      <c r="H31" s="41"/>
      <c r="I31" s="20"/>
    </row>
    <row r="32" spans="1:9" x14ac:dyDescent="0.25">
      <c r="A32" s="1" t="s">
        <v>29</v>
      </c>
      <c r="B32" s="2">
        <v>3</v>
      </c>
      <c r="C32" s="114" t="s">
        <v>80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1</v>
      </c>
      <c r="C33" s="114" t="s">
        <v>81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31</v>
      </c>
      <c r="B34" s="2">
        <v>4</v>
      </c>
      <c r="C34" s="114" t="s">
        <v>82</v>
      </c>
      <c r="D34" s="10"/>
      <c r="E34" s="20"/>
      <c r="F34" s="20"/>
      <c r="G34" s="20"/>
      <c r="H34" s="20"/>
      <c r="I34" s="20"/>
    </row>
    <row r="35" spans="1:9" ht="27" x14ac:dyDescent="0.25">
      <c r="A35" s="1" t="s">
        <v>26</v>
      </c>
      <c r="B35" s="2">
        <v>1</v>
      </c>
      <c r="C35" s="114" t="s">
        <v>83</v>
      </c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4</v>
      </c>
      <c r="C45" s="113" t="s">
        <v>84</v>
      </c>
      <c r="D45" s="9"/>
    </row>
    <row r="46" spans="1:9" ht="27" x14ac:dyDescent="0.25">
      <c r="A46" s="1" t="s">
        <v>31</v>
      </c>
      <c r="B46" s="2">
        <v>3</v>
      </c>
      <c r="C46" s="114" t="s">
        <v>85</v>
      </c>
      <c r="D46" s="10"/>
    </row>
    <row r="47" spans="1:9" x14ac:dyDescent="0.25">
      <c r="A47" s="1" t="s">
        <v>27</v>
      </c>
      <c r="B47" s="2">
        <v>3</v>
      </c>
      <c r="C47" s="114" t="s">
        <v>86</v>
      </c>
      <c r="D47" s="10"/>
    </row>
    <row r="48" spans="1:9" x14ac:dyDescent="0.25">
      <c r="A48" s="1" t="s">
        <v>35</v>
      </c>
      <c r="B48" s="2">
        <v>1</v>
      </c>
      <c r="C48" s="114" t="s">
        <v>87</v>
      </c>
      <c r="D48" s="10"/>
    </row>
    <row r="49" spans="1:4" ht="27" x14ac:dyDescent="0.25">
      <c r="A49" s="1" t="s">
        <v>26</v>
      </c>
      <c r="B49" s="2">
        <v>1</v>
      </c>
      <c r="C49" s="114" t="s">
        <v>88</v>
      </c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31</v>
      </c>
      <c r="B59" s="4">
        <v>5</v>
      </c>
      <c r="C59" s="113" t="s">
        <v>89</v>
      </c>
      <c r="D59" s="9"/>
    </row>
    <row r="60" spans="1:4" x14ac:dyDescent="0.25">
      <c r="A60" s="1" t="s">
        <v>32</v>
      </c>
      <c r="B60" s="2">
        <v>1</v>
      </c>
      <c r="C60" s="114" t="s">
        <v>90</v>
      </c>
      <c r="D60" s="10"/>
    </row>
    <row r="61" spans="1:4" x14ac:dyDescent="0.25">
      <c r="A61" s="1" t="s">
        <v>34</v>
      </c>
      <c r="B61" s="2">
        <v>2</v>
      </c>
      <c r="C61" s="114" t="s">
        <v>91</v>
      </c>
      <c r="D61" s="10"/>
    </row>
    <row r="62" spans="1:4" x14ac:dyDescent="0.25">
      <c r="A62" s="1" t="s">
        <v>35</v>
      </c>
      <c r="B62" s="2">
        <v>3</v>
      </c>
      <c r="C62" s="114" t="s">
        <v>92</v>
      </c>
      <c r="D62" s="10"/>
    </row>
    <row r="63" spans="1:4" ht="27" x14ac:dyDescent="0.25">
      <c r="A63" s="1" t="s">
        <v>26</v>
      </c>
      <c r="B63" s="2">
        <v>1</v>
      </c>
      <c r="C63" s="114" t="s">
        <v>93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5" t="s">
        <v>35</v>
      </c>
      <c r="B73" s="4">
        <v>10</v>
      </c>
      <c r="C73" s="113" t="s">
        <v>94</v>
      </c>
      <c r="D73" s="9"/>
    </row>
    <row r="74" spans="1:4" x14ac:dyDescent="0.25">
      <c r="A74" s="1" t="s">
        <v>37</v>
      </c>
      <c r="B74" s="2">
        <v>1</v>
      </c>
      <c r="C74" s="114" t="s">
        <v>95</v>
      </c>
      <c r="D74" s="10"/>
    </row>
    <row r="75" spans="1:4" ht="27" x14ac:dyDescent="0.25">
      <c r="A75" s="1" t="s">
        <v>26</v>
      </c>
      <c r="B75" s="2">
        <v>1</v>
      </c>
      <c r="C75" s="114" t="s">
        <v>96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34</v>
      </c>
      <c r="B87" s="4">
        <v>4</v>
      </c>
      <c r="C87" s="113" t="s">
        <v>97</v>
      </c>
      <c r="D87" s="9"/>
    </row>
    <row r="88" spans="1:4" x14ac:dyDescent="0.25">
      <c r="A88" s="1" t="s">
        <v>21</v>
      </c>
      <c r="B88" s="2">
        <v>3</v>
      </c>
      <c r="C88" s="114" t="s">
        <v>98</v>
      </c>
      <c r="D88" s="10"/>
    </row>
    <row r="89" spans="1:4" x14ac:dyDescent="0.25">
      <c r="A89" s="1" t="s">
        <v>37</v>
      </c>
      <c r="B89" s="2">
        <v>4</v>
      </c>
      <c r="C89" s="114" t="s">
        <v>99</v>
      </c>
      <c r="D89" s="10"/>
    </row>
    <row r="90" spans="1:4" ht="27" x14ac:dyDescent="0.25">
      <c r="A90" s="1" t="s">
        <v>26</v>
      </c>
      <c r="B90" s="2">
        <v>1</v>
      </c>
      <c r="C90" s="114" t="s">
        <v>100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5" t="s">
        <v>36</v>
      </c>
      <c r="B101" s="4">
        <v>8</v>
      </c>
      <c r="C101" s="113" t="s">
        <v>101</v>
      </c>
      <c r="D101" s="9"/>
    </row>
    <row r="102" spans="1:4" x14ac:dyDescent="0.25">
      <c r="A102" s="1" t="s">
        <v>35</v>
      </c>
      <c r="B102" s="2">
        <v>3</v>
      </c>
      <c r="C102" s="114" t="s">
        <v>102</v>
      </c>
      <c r="D102" s="10"/>
    </row>
    <row r="103" spans="1:4" ht="27" x14ac:dyDescent="0.25">
      <c r="A103" s="1" t="s">
        <v>26</v>
      </c>
      <c r="B103" s="2">
        <v>1</v>
      </c>
      <c r="C103" s="114" t="s">
        <v>103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5" t="s">
        <v>33</v>
      </c>
      <c r="B115" s="4">
        <v>8</v>
      </c>
      <c r="C115" s="113" t="s">
        <v>104</v>
      </c>
      <c r="D115" s="9"/>
    </row>
    <row r="116" spans="1:4" x14ac:dyDescent="0.25">
      <c r="A116" s="1" t="s">
        <v>27</v>
      </c>
      <c r="B116" s="2">
        <v>3</v>
      </c>
      <c r="C116" s="114" t="s">
        <v>105</v>
      </c>
      <c r="D116" s="10"/>
    </row>
    <row r="117" spans="1:4" ht="27" x14ac:dyDescent="0.25">
      <c r="A117" s="1" t="s">
        <v>26</v>
      </c>
      <c r="B117" s="2">
        <v>1</v>
      </c>
      <c r="C117" s="114" t="s">
        <v>106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34</v>
      </c>
      <c r="B129" s="4">
        <v>3</v>
      </c>
      <c r="C129" s="113" t="s">
        <v>107</v>
      </c>
      <c r="D129" s="9"/>
    </row>
    <row r="130" spans="1:4" x14ac:dyDescent="0.25">
      <c r="A130" s="1" t="s">
        <v>36</v>
      </c>
      <c r="B130" s="2">
        <v>3</v>
      </c>
      <c r="C130" s="114" t="s">
        <v>108</v>
      </c>
      <c r="D130" s="10"/>
    </row>
    <row r="131" spans="1:4" ht="27" x14ac:dyDescent="0.25">
      <c r="A131" s="1" t="s">
        <v>27</v>
      </c>
      <c r="B131" s="2">
        <v>5</v>
      </c>
      <c r="C131" s="114" t="s">
        <v>109</v>
      </c>
      <c r="D131" s="10"/>
    </row>
    <row r="132" spans="1:4" ht="27" x14ac:dyDescent="0.25">
      <c r="A132" s="1" t="s">
        <v>26</v>
      </c>
      <c r="B132" s="2">
        <v>1</v>
      </c>
      <c r="C132" s="114" t="s">
        <v>110</v>
      </c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50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30</v>
      </c>
      <c r="B143" s="4">
        <v>6</v>
      </c>
      <c r="C143" s="113" t="s">
        <v>111</v>
      </c>
      <c r="D143" s="9"/>
    </row>
    <row r="144" spans="1:4" x14ac:dyDescent="0.25">
      <c r="A144" s="1" t="s">
        <v>46</v>
      </c>
      <c r="B144" s="2">
        <v>5</v>
      </c>
      <c r="C144" s="114" t="s">
        <v>112</v>
      </c>
      <c r="D144" s="10"/>
    </row>
    <row r="145" spans="1:4" ht="27" x14ac:dyDescent="0.25">
      <c r="A145" s="1" t="s">
        <v>26</v>
      </c>
      <c r="B145" s="2">
        <v>1</v>
      </c>
      <c r="C145" s="114" t="s">
        <v>113</v>
      </c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50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50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50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50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50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50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51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234"/>
  <sheetViews>
    <sheetView topLeftCell="A106" workbookViewId="0">
      <selection activeCell="B114" sqref="B11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44435</v>
      </c>
    </row>
    <row r="2" spans="1:9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9" s="53" customFormat="1" ht="27" x14ac:dyDescent="0.25">
      <c r="A3" s="5" t="s">
        <v>26</v>
      </c>
      <c r="B3" s="4">
        <v>2</v>
      </c>
      <c r="C3" s="113" t="s">
        <v>70</v>
      </c>
      <c r="D3" s="9"/>
    </row>
    <row r="4" spans="1:9" s="53" customFormat="1" x14ac:dyDescent="0.25">
      <c r="A4" s="1" t="s">
        <v>27</v>
      </c>
      <c r="B4" s="2">
        <v>7</v>
      </c>
      <c r="C4" s="10" t="s">
        <v>71</v>
      </c>
      <c r="D4" s="10"/>
    </row>
    <row r="5" spans="1:9" s="53" customFormat="1" x14ac:dyDescent="0.25">
      <c r="A5" s="1" t="s">
        <v>32</v>
      </c>
      <c r="B5" s="2">
        <v>3</v>
      </c>
      <c r="C5" s="114" t="s">
        <v>72</v>
      </c>
      <c r="D5" s="10"/>
    </row>
    <row r="6" spans="1:9" s="53" customFormat="1" x14ac:dyDescent="0.25">
      <c r="A6" s="1"/>
      <c r="B6" s="2"/>
      <c r="C6" s="10"/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22</v>
      </c>
      <c r="B10" s="48">
        <f>SUM(B3:B9)</f>
        <v>12</v>
      </c>
      <c r="C10" s="112" t="s">
        <v>50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14</v>
      </c>
      <c r="B12" s="44">
        <v>2</v>
      </c>
      <c r="C12" s="45" t="s">
        <v>23</v>
      </c>
      <c r="D12" s="54">
        <f>$D$1+7</f>
        <v>44442</v>
      </c>
    </row>
    <row r="13" spans="1:9" ht="27.75" thickBot="1" x14ac:dyDescent="0.3">
      <c r="A13" s="46" t="s">
        <v>3</v>
      </c>
      <c r="B13" s="47" t="s">
        <v>15</v>
      </c>
      <c r="C13" s="46" t="s">
        <v>7</v>
      </c>
      <c r="D13" s="46" t="s">
        <v>13</v>
      </c>
    </row>
    <row r="14" spans="1:9" ht="27" x14ac:dyDescent="0.25">
      <c r="A14" s="5" t="s">
        <v>26</v>
      </c>
      <c r="B14" s="4">
        <v>1</v>
      </c>
      <c r="C14" s="113" t="s">
        <v>73</v>
      </c>
      <c r="D14" s="9"/>
    </row>
    <row r="15" spans="1:9" x14ac:dyDescent="0.25">
      <c r="A15" s="1" t="s">
        <v>27</v>
      </c>
      <c r="B15" s="2">
        <v>7</v>
      </c>
      <c r="C15" s="114" t="s">
        <v>77</v>
      </c>
      <c r="D15" s="10"/>
    </row>
    <row r="16" spans="1:9" x14ac:dyDescent="0.25">
      <c r="A16" s="1" t="s">
        <v>29</v>
      </c>
      <c r="B16" s="2">
        <v>3</v>
      </c>
      <c r="C16" s="114" t="s">
        <v>78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1" t="s">
        <v>26</v>
      </c>
      <c r="B17" s="2">
        <v>1</v>
      </c>
      <c r="C17" s="114" t="s">
        <v>76</v>
      </c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x14ac:dyDescent="0.25">
      <c r="A19" s="1"/>
      <c r="B19" s="2"/>
      <c r="C19" s="10"/>
      <c r="D19" s="10"/>
      <c r="E19" s="20"/>
      <c r="F19" s="37"/>
      <c r="G19" s="38"/>
      <c r="H19" s="38"/>
      <c r="I19" s="20"/>
    </row>
    <row r="20" spans="1:9" x14ac:dyDescent="0.25">
      <c r="A20" s="1"/>
      <c r="B20" s="2"/>
      <c r="C20" s="10"/>
      <c r="D20" s="10"/>
      <c r="E20" s="20"/>
      <c r="F20" s="37"/>
      <c r="G20" s="38"/>
      <c r="H20" s="38"/>
      <c r="I20" s="20"/>
    </row>
    <row r="21" spans="1:9" ht="14.25" thickBot="1" x14ac:dyDescent="0.3">
      <c r="A21" s="1"/>
      <c r="B21" s="2"/>
      <c r="C21" s="10"/>
      <c r="D21" s="10"/>
      <c r="E21" s="20"/>
      <c r="F21" s="37"/>
      <c r="G21" s="38"/>
      <c r="H21" s="38"/>
      <c r="I21" s="20"/>
    </row>
    <row r="22" spans="1:9" ht="14.25" thickBot="1" x14ac:dyDescent="0.3">
      <c r="A22" s="48" t="s">
        <v>22</v>
      </c>
      <c r="B22" s="48">
        <f>SUM(B14:B21)</f>
        <v>12</v>
      </c>
      <c r="C22" s="112" t="s">
        <v>50</v>
      </c>
      <c r="D22" s="49"/>
      <c r="E22" s="20"/>
      <c r="F22" s="20"/>
      <c r="G22" s="20"/>
      <c r="H22" s="20"/>
      <c r="I22" s="20"/>
    </row>
    <row r="23" spans="1:9" ht="15" thickBot="1" x14ac:dyDescent="0.35">
      <c r="A23" s="50"/>
      <c r="B23" s="50"/>
      <c r="C23" s="50"/>
      <c r="D23" s="50"/>
      <c r="E23" s="20"/>
      <c r="F23" s="20"/>
      <c r="G23" s="20"/>
      <c r="H23" s="20"/>
      <c r="I23" s="20"/>
    </row>
    <row r="24" spans="1:9" ht="18.75" thickBot="1" x14ac:dyDescent="0.3">
      <c r="A24" s="43" t="s">
        <v>14</v>
      </c>
      <c r="B24" s="44">
        <v>3</v>
      </c>
      <c r="C24" s="45" t="s">
        <v>23</v>
      </c>
      <c r="D24" s="54">
        <f>$D$12+7</f>
        <v>44449</v>
      </c>
      <c r="E24" s="20"/>
      <c r="F24" s="20"/>
      <c r="G24" s="20"/>
      <c r="H24" s="20"/>
      <c r="I24" s="20"/>
    </row>
    <row r="25" spans="1:9" ht="27.75" thickBot="1" x14ac:dyDescent="0.3">
      <c r="A25" s="46" t="s">
        <v>3</v>
      </c>
      <c r="B25" s="47" t="s">
        <v>15</v>
      </c>
      <c r="C25" s="46" t="s">
        <v>7</v>
      </c>
      <c r="D25" s="46" t="s">
        <v>13</v>
      </c>
    </row>
    <row r="26" spans="1:9" x14ac:dyDescent="0.25">
      <c r="A26" s="5" t="s">
        <v>27</v>
      </c>
      <c r="B26" s="4">
        <v>3</v>
      </c>
      <c r="C26" s="113" t="s">
        <v>79</v>
      </c>
      <c r="D26" s="9"/>
    </row>
    <row r="27" spans="1:9" x14ac:dyDescent="0.25">
      <c r="A27" s="1" t="s">
        <v>29</v>
      </c>
      <c r="B27" s="2">
        <v>3</v>
      </c>
      <c r="C27" s="114" t="s">
        <v>80</v>
      </c>
      <c r="D27" s="10"/>
    </row>
    <row r="28" spans="1:9" x14ac:dyDescent="0.25">
      <c r="A28" s="1" t="s">
        <v>32</v>
      </c>
      <c r="B28" s="2">
        <v>1</v>
      </c>
      <c r="C28" s="114" t="s">
        <v>81</v>
      </c>
      <c r="D28" s="10"/>
    </row>
    <row r="29" spans="1:9" ht="27" x14ac:dyDescent="0.25">
      <c r="A29" s="1" t="s">
        <v>31</v>
      </c>
      <c r="B29" s="2">
        <v>4</v>
      </c>
      <c r="C29" s="114" t="s">
        <v>82</v>
      </c>
      <c r="D29" s="10"/>
    </row>
    <row r="30" spans="1:9" ht="27" x14ac:dyDescent="0.25">
      <c r="A30" s="1" t="s">
        <v>26</v>
      </c>
      <c r="B30" s="2">
        <v>1</v>
      </c>
      <c r="C30" s="114" t="s">
        <v>83</v>
      </c>
      <c r="D30" s="10"/>
    </row>
    <row r="31" spans="1:9" x14ac:dyDescent="0.25">
      <c r="A31" s="1"/>
      <c r="B31" s="2"/>
      <c r="C31" s="10"/>
      <c r="D31" s="10"/>
    </row>
    <row r="32" spans="1:9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ht="14.25" thickBot="1" x14ac:dyDescent="0.3">
      <c r="A34" s="1"/>
      <c r="B34" s="2"/>
      <c r="C34" s="10"/>
      <c r="D34" s="10"/>
    </row>
    <row r="35" spans="1:4" ht="14.25" thickBot="1" x14ac:dyDescent="0.3">
      <c r="A35" s="48" t="s">
        <v>22</v>
      </c>
      <c r="B35" s="48">
        <f>SUM(B26:B34)</f>
        <v>12</v>
      </c>
      <c r="C35" s="112" t="s">
        <v>50</v>
      </c>
      <c r="D35" s="49"/>
    </row>
    <row r="36" spans="1:4" ht="15" thickBot="1" x14ac:dyDescent="0.35">
      <c r="A36" s="50"/>
      <c r="B36" s="50"/>
      <c r="C36" s="50"/>
      <c r="D36" s="50"/>
    </row>
    <row r="37" spans="1:4" ht="18.75" thickBot="1" x14ac:dyDescent="0.3">
      <c r="A37" s="43" t="s">
        <v>14</v>
      </c>
      <c r="B37" s="44">
        <v>4</v>
      </c>
      <c r="C37" s="45" t="s">
        <v>23</v>
      </c>
      <c r="D37" s="54">
        <f>$D$24+7</f>
        <v>44456</v>
      </c>
    </row>
    <row r="38" spans="1:4" ht="27.75" thickBot="1" x14ac:dyDescent="0.3">
      <c r="A38" s="46" t="s">
        <v>3</v>
      </c>
      <c r="B38" s="47" t="s">
        <v>15</v>
      </c>
      <c r="C38" s="46" t="s">
        <v>7</v>
      </c>
      <c r="D38" s="46" t="s">
        <v>13</v>
      </c>
    </row>
    <row r="39" spans="1:4" x14ac:dyDescent="0.25">
      <c r="A39" s="5" t="s">
        <v>34</v>
      </c>
      <c r="B39" s="4">
        <v>4</v>
      </c>
      <c r="C39" s="113" t="s">
        <v>84</v>
      </c>
      <c r="D39" s="9"/>
    </row>
    <row r="40" spans="1:4" ht="27" x14ac:dyDescent="0.25">
      <c r="A40" s="1" t="s">
        <v>31</v>
      </c>
      <c r="B40" s="2">
        <v>3</v>
      </c>
      <c r="C40" s="114" t="s">
        <v>85</v>
      </c>
      <c r="D40" s="10"/>
    </row>
    <row r="41" spans="1:4" x14ac:dyDescent="0.25">
      <c r="A41" s="1" t="s">
        <v>27</v>
      </c>
      <c r="B41" s="2">
        <v>3</v>
      </c>
      <c r="C41" s="114" t="s">
        <v>86</v>
      </c>
      <c r="D41" s="10"/>
    </row>
    <row r="42" spans="1:4" x14ac:dyDescent="0.25">
      <c r="A42" s="1" t="s">
        <v>35</v>
      </c>
      <c r="B42" s="2">
        <v>1</v>
      </c>
      <c r="C42" s="114" t="s">
        <v>87</v>
      </c>
      <c r="D42" s="10"/>
    </row>
    <row r="43" spans="1:4" ht="27" x14ac:dyDescent="0.25">
      <c r="A43" s="1" t="s">
        <v>26</v>
      </c>
      <c r="B43" s="2">
        <v>1</v>
      </c>
      <c r="C43" s="114" t="s">
        <v>88</v>
      </c>
      <c r="D43" s="10"/>
    </row>
    <row r="44" spans="1:4" x14ac:dyDescent="0.25">
      <c r="A44" s="1"/>
      <c r="B44" s="2"/>
      <c r="C44" s="10"/>
      <c r="D44" s="10"/>
    </row>
    <row r="45" spans="1:4" x14ac:dyDescent="0.25">
      <c r="A45" s="1"/>
      <c r="B45" s="2"/>
      <c r="C45" s="10"/>
      <c r="D45" s="10"/>
    </row>
    <row r="46" spans="1:4" x14ac:dyDescent="0.25">
      <c r="A46" s="1"/>
      <c r="B46" s="2"/>
      <c r="C46" s="10"/>
      <c r="D46" s="10"/>
    </row>
    <row r="47" spans="1:4" ht="14.25" thickBot="1" x14ac:dyDescent="0.3">
      <c r="A47" s="1"/>
      <c r="B47" s="2"/>
      <c r="C47" s="10"/>
      <c r="D47" s="10"/>
    </row>
    <row r="48" spans="1:4" ht="14.25" thickBot="1" x14ac:dyDescent="0.3">
      <c r="A48" s="48" t="s">
        <v>22</v>
      </c>
      <c r="B48" s="48">
        <f>SUM(B39:B47)</f>
        <v>12</v>
      </c>
      <c r="C48" s="112" t="s">
        <v>50</v>
      </c>
      <c r="D48" s="49"/>
    </row>
    <row r="49" spans="1:4" ht="15" thickBot="1" x14ac:dyDescent="0.35">
      <c r="A49" s="50"/>
      <c r="B49" s="50"/>
      <c r="C49" s="50"/>
      <c r="D49" s="50"/>
    </row>
    <row r="50" spans="1:4" ht="18.75" thickBot="1" x14ac:dyDescent="0.3">
      <c r="A50" s="43" t="s">
        <v>14</v>
      </c>
      <c r="B50" s="44">
        <v>5</v>
      </c>
      <c r="C50" s="45" t="s">
        <v>23</v>
      </c>
      <c r="D50" s="54">
        <f>$D$37+7</f>
        <v>44463</v>
      </c>
    </row>
    <row r="51" spans="1:4" ht="27.75" thickBot="1" x14ac:dyDescent="0.3">
      <c r="A51" s="46" t="s">
        <v>3</v>
      </c>
      <c r="B51" s="47" t="s">
        <v>15</v>
      </c>
      <c r="C51" s="46" t="s">
        <v>7</v>
      </c>
      <c r="D51" s="46" t="s">
        <v>13</v>
      </c>
    </row>
    <row r="52" spans="1:4" ht="27" x14ac:dyDescent="0.25">
      <c r="A52" s="5" t="s">
        <v>31</v>
      </c>
      <c r="B52" s="4">
        <v>5</v>
      </c>
      <c r="C52" s="113" t="s">
        <v>89</v>
      </c>
      <c r="D52" s="9"/>
    </row>
    <row r="53" spans="1:4" x14ac:dyDescent="0.25">
      <c r="A53" s="1" t="s">
        <v>32</v>
      </c>
      <c r="B53" s="2">
        <v>1</v>
      </c>
      <c r="C53" s="114" t="s">
        <v>90</v>
      </c>
      <c r="D53" s="10"/>
    </row>
    <row r="54" spans="1:4" x14ac:dyDescent="0.25">
      <c r="A54" s="1" t="s">
        <v>34</v>
      </c>
      <c r="B54" s="2">
        <v>2</v>
      </c>
      <c r="C54" s="114" t="s">
        <v>91</v>
      </c>
      <c r="D54" s="10"/>
    </row>
    <row r="55" spans="1:4" x14ac:dyDescent="0.25">
      <c r="A55" s="1" t="s">
        <v>35</v>
      </c>
      <c r="B55" s="2">
        <v>3</v>
      </c>
      <c r="C55" s="114" t="s">
        <v>92</v>
      </c>
      <c r="D55" s="10"/>
    </row>
    <row r="56" spans="1:4" ht="27" x14ac:dyDescent="0.25">
      <c r="A56" s="1" t="s">
        <v>26</v>
      </c>
      <c r="B56" s="2">
        <v>1</v>
      </c>
      <c r="C56" s="114" t="s">
        <v>93</v>
      </c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ht="14.25" thickBot="1" x14ac:dyDescent="0.3">
      <c r="A60" s="1"/>
      <c r="B60" s="2"/>
      <c r="C60" s="10"/>
      <c r="D60" s="10"/>
    </row>
    <row r="61" spans="1:4" ht="14.25" thickBot="1" x14ac:dyDescent="0.3">
      <c r="A61" s="48" t="s">
        <v>22</v>
      </c>
      <c r="B61" s="48">
        <f>SUM(B52:B60)</f>
        <v>12</v>
      </c>
      <c r="C61" s="112" t="s">
        <v>50</v>
      </c>
      <c r="D61" s="49"/>
    </row>
    <row r="62" spans="1:4" ht="15" thickBot="1" x14ac:dyDescent="0.35">
      <c r="A62" s="50"/>
      <c r="B62" s="50"/>
      <c r="C62" s="50"/>
      <c r="D62" s="50"/>
    </row>
    <row r="63" spans="1:4" ht="18.75" thickBot="1" x14ac:dyDescent="0.3">
      <c r="A63" s="43" t="s">
        <v>14</v>
      </c>
      <c r="B63" s="44">
        <v>6</v>
      </c>
      <c r="C63" s="45" t="s">
        <v>23</v>
      </c>
      <c r="D63" s="54">
        <f>$D$50+7</f>
        <v>44470</v>
      </c>
    </row>
    <row r="64" spans="1:4" ht="27.75" thickBot="1" x14ac:dyDescent="0.3">
      <c r="A64" s="46" t="s">
        <v>3</v>
      </c>
      <c r="B64" s="47" t="s">
        <v>15</v>
      </c>
      <c r="C64" s="46" t="s">
        <v>7</v>
      </c>
      <c r="D64" s="46" t="s">
        <v>13</v>
      </c>
    </row>
    <row r="65" spans="1:4" ht="27" x14ac:dyDescent="0.25">
      <c r="A65" s="5" t="s">
        <v>35</v>
      </c>
      <c r="B65" s="4">
        <v>10</v>
      </c>
      <c r="C65" s="113" t="s">
        <v>94</v>
      </c>
      <c r="D65" s="9"/>
    </row>
    <row r="66" spans="1:4" x14ac:dyDescent="0.25">
      <c r="A66" s="1" t="s">
        <v>37</v>
      </c>
      <c r="B66" s="2">
        <v>1</v>
      </c>
      <c r="C66" s="114" t="s">
        <v>95</v>
      </c>
      <c r="D66" s="10"/>
    </row>
    <row r="67" spans="1:4" ht="27" x14ac:dyDescent="0.25">
      <c r="A67" s="1" t="s">
        <v>26</v>
      </c>
      <c r="B67" s="2">
        <v>1</v>
      </c>
      <c r="C67" s="114" t="s">
        <v>96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ht="14.25" thickBot="1" x14ac:dyDescent="0.3">
      <c r="A71" s="1"/>
      <c r="B71" s="2"/>
      <c r="C71" s="10"/>
      <c r="D71" s="10"/>
    </row>
    <row r="72" spans="1:4" ht="14.25" thickBot="1" x14ac:dyDescent="0.3">
      <c r="A72" s="48" t="s">
        <v>22</v>
      </c>
      <c r="B72" s="48">
        <f>SUM(B65:B71)</f>
        <v>12</v>
      </c>
      <c r="C72" s="112" t="s">
        <v>50</v>
      </c>
      <c r="D72" s="49"/>
    </row>
    <row r="73" spans="1:4" ht="15" thickBot="1" x14ac:dyDescent="0.35">
      <c r="A73" s="50"/>
      <c r="B73" s="50"/>
      <c r="C73" s="50"/>
      <c r="D73" s="50"/>
    </row>
    <row r="74" spans="1:4" ht="18.75" thickBot="1" x14ac:dyDescent="0.3">
      <c r="A74" s="43" t="s">
        <v>14</v>
      </c>
      <c r="B74" s="44">
        <v>7</v>
      </c>
      <c r="C74" s="45" t="s">
        <v>23</v>
      </c>
      <c r="D74" s="54">
        <f>$D$63+7</f>
        <v>44477</v>
      </c>
    </row>
    <row r="75" spans="1:4" ht="27.75" thickBot="1" x14ac:dyDescent="0.3">
      <c r="A75" s="46" t="s">
        <v>3</v>
      </c>
      <c r="B75" s="47" t="s">
        <v>15</v>
      </c>
      <c r="C75" s="46" t="s">
        <v>7</v>
      </c>
      <c r="D75" s="46" t="s">
        <v>13</v>
      </c>
    </row>
    <row r="76" spans="1:4" x14ac:dyDescent="0.25">
      <c r="A76" s="5" t="s">
        <v>34</v>
      </c>
      <c r="B76" s="4">
        <v>4</v>
      </c>
      <c r="C76" s="113" t="s">
        <v>97</v>
      </c>
      <c r="D76" s="9"/>
    </row>
    <row r="77" spans="1:4" x14ac:dyDescent="0.25">
      <c r="A77" s="1" t="s">
        <v>21</v>
      </c>
      <c r="B77" s="2">
        <v>3</v>
      </c>
      <c r="C77" s="114" t="s">
        <v>98</v>
      </c>
      <c r="D77" s="10"/>
    </row>
    <row r="78" spans="1:4" x14ac:dyDescent="0.25">
      <c r="A78" s="1" t="s">
        <v>37</v>
      </c>
      <c r="B78" s="2">
        <v>4</v>
      </c>
      <c r="C78" s="114" t="s">
        <v>99</v>
      </c>
      <c r="D78" s="10"/>
    </row>
    <row r="79" spans="1:4" ht="27" x14ac:dyDescent="0.25">
      <c r="A79" s="1" t="s">
        <v>26</v>
      </c>
      <c r="B79" s="2">
        <v>1</v>
      </c>
      <c r="C79" s="114" t="s">
        <v>100</v>
      </c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ht="14.25" thickBot="1" x14ac:dyDescent="0.3">
      <c r="A83" s="1"/>
      <c r="B83" s="2"/>
      <c r="C83" s="10"/>
      <c r="D83" s="10"/>
    </row>
    <row r="84" spans="1:4" ht="14.25" thickBot="1" x14ac:dyDescent="0.3">
      <c r="A84" s="48" t="s">
        <v>22</v>
      </c>
      <c r="B84" s="48">
        <f>SUM(B76:B83)</f>
        <v>12</v>
      </c>
      <c r="C84" s="112" t="s">
        <v>50</v>
      </c>
      <c r="D84" s="49"/>
    </row>
    <row r="85" spans="1:4" ht="15" thickBot="1" x14ac:dyDescent="0.35">
      <c r="A85" s="50"/>
      <c r="B85" s="50"/>
      <c r="C85" s="50"/>
      <c r="D85" s="50"/>
    </row>
    <row r="86" spans="1:4" ht="18.75" thickBot="1" x14ac:dyDescent="0.3">
      <c r="A86" s="43" t="s">
        <v>14</v>
      </c>
      <c r="B86" s="44">
        <v>8</v>
      </c>
      <c r="C86" s="45" t="s">
        <v>23</v>
      </c>
      <c r="D86" s="54">
        <f>$D$74+7</f>
        <v>44484</v>
      </c>
    </row>
    <row r="87" spans="1:4" ht="27.75" thickBot="1" x14ac:dyDescent="0.3">
      <c r="A87" s="46" t="s">
        <v>3</v>
      </c>
      <c r="B87" s="47" t="s">
        <v>15</v>
      </c>
      <c r="C87" s="46" t="s">
        <v>7</v>
      </c>
      <c r="D87" s="46" t="s">
        <v>13</v>
      </c>
    </row>
    <row r="88" spans="1:4" ht="27" x14ac:dyDescent="0.25">
      <c r="A88" s="5" t="s">
        <v>36</v>
      </c>
      <c r="B88" s="4">
        <v>8</v>
      </c>
      <c r="C88" s="113" t="s">
        <v>101</v>
      </c>
      <c r="D88" s="9"/>
    </row>
    <row r="89" spans="1:4" x14ac:dyDescent="0.25">
      <c r="A89" s="1" t="s">
        <v>35</v>
      </c>
      <c r="B89" s="2">
        <v>3</v>
      </c>
      <c r="C89" s="114" t="s">
        <v>102</v>
      </c>
      <c r="D89" s="10"/>
    </row>
    <row r="90" spans="1:4" ht="27" x14ac:dyDescent="0.25">
      <c r="A90" s="1" t="s">
        <v>26</v>
      </c>
      <c r="B90" s="2">
        <v>1</v>
      </c>
      <c r="C90" s="114" t="s">
        <v>103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ht="14.25" thickBot="1" x14ac:dyDescent="0.3">
      <c r="A94" s="1"/>
      <c r="B94" s="2"/>
      <c r="C94" s="10"/>
      <c r="D94" s="10"/>
    </row>
    <row r="95" spans="1:4" ht="14.25" thickBot="1" x14ac:dyDescent="0.3">
      <c r="A95" s="48" t="s">
        <v>22</v>
      </c>
      <c r="B95" s="48">
        <f>SUM(B88:B94)</f>
        <v>12</v>
      </c>
      <c r="C95" s="112" t="s">
        <v>50</v>
      </c>
      <c r="D95" s="49"/>
    </row>
    <row r="96" spans="1:4" ht="15" thickBot="1" x14ac:dyDescent="0.35">
      <c r="A96" s="50"/>
      <c r="B96" s="50"/>
      <c r="C96" s="50"/>
      <c r="D96" s="50"/>
    </row>
    <row r="97" spans="1:4" ht="18.75" thickBot="1" x14ac:dyDescent="0.3">
      <c r="A97" s="43" t="s">
        <v>14</v>
      </c>
      <c r="B97" s="44">
        <v>9</v>
      </c>
      <c r="C97" s="45" t="s">
        <v>23</v>
      </c>
      <c r="D97" s="54">
        <f>$D$86+21</f>
        <v>44505</v>
      </c>
    </row>
    <row r="98" spans="1:4" ht="27.75" thickBot="1" x14ac:dyDescent="0.3">
      <c r="A98" s="46" t="s">
        <v>3</v>
      </c>
      <c r="B98" s="47" t="s">
        <v>15</v>
      </c>
      <c r="C98" s="46" t="s">
        <v>7</v>
      </c>
      <c r="D98" s="46" t="s">
        <v>13</v>
      </c>
    </row>
    <row r="99" spans="1:4" ht="27" x14ac:dyDescent="0.25">
      <c r="A99" s="5" t="s">
        <v>33</v>
      </c>
      <c r="B99" s="4">
        <v>8</v>
      </c>
      <c r="C99" s="113" t="s">
        <v>104</v>
      </c>
      <c r="D99" s="9"/>
    </row>
    <row r="100" spans="1:4" x14ac:dyDescent="0.25">
      <c r="A100" s="1" t="s">
        <v>27</v>
      </c>
      <c r="B100" s="2">
        <v>3</v>
      </c>
      <c r="C100" s="114" t="s">
        <v>105</v>
      </c>
      <c r="D100" s="10"/>
    </row>
    <row r="101" spans="1:4" ht="27" x14ac:dyDescent="0.25">
      <c r="A101" s="1" t="s">
        <v>26</v>
      </c>
      <c r="B101" s="2">
        <v>1</v>
      </c>
      <c r="C101" s="114" t="s">
        <v>106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ht="14.25" thickBot="1" x14ac:dyDescent="0.3">
      <c r="A105" s="1"/>
      <c r="B105" s="2"/>
      <c r="C105" s="10"/>
      <c r="D105" s="10"/>
    </row>
    <row r="106" spans="1:4" ht="14.25" thickBot="1" x14ac:dyDescent="0.3">
      <c r="A106" s="48" t="s">
        <v>22</v>
      </c>
      <c r="B106" s="48">
        <f>SUM(B99:B105)</f>
        <v>12</v>
      </c>
      <c r="C106" s="112" t="s">
        <v>50</v>
      </c>
      <c r="D106" s="49"/>
    </row>
    <row r="107" spans="1:4" ht="15" thickBot="1" x14ac:dyDescent="0.35">
      <c r="A107" s="50"/>
      <c r="B107" s="50"/>
      <c r="C107" s="50"/>
      <c r="D107" s="50"/>
    </row>
    <row r="108" spans="1:4" ht="18.75" thickBot="1" x14ac:dyDescent="0.3">
      <c r="A108" s="43" t="s">
        <v>14</v>
      </c>
      <c r="B108" s="44">
        <v>10</v>
      </c>
      <c r="C108" s="45" t="s">
        <v>23</v>
      </c>
      <c r="D108" s="54">
        <f>$D$97+7</f>
        <v>44512</v>
      </c>
    </row>
    <row r="109" spans="1:4" ht="27.75" thickBot="1" x14ac:dyDescent="0.3">
      <c r="A109" s="46" t="s">
        <v>3</v>
      </c>
      <c r="B109" s="47" t="s">
        <v>15</v>
      </c>
      <c r="C109" s="46" t="s">
        <v>7</v>
      </c>
      <c r="D109" s="46" t="s">
        <v>13</v>
      </c>
    </row>
    <row r="110" spans="1:4" x14ac:dyDescent="0.25">
      <c r="A110" s="5" t="s">
        <v>34</v>
      </c>
      <c r="B110" s="4">
        <v>3</v>
      </c>
      <c r="C110" s="113" t="s">
        <v>107</v>
      </c>
      <c r="D110" s="9"/>
    </row>
    <row r="111" spans="1:4" x14ac:dyDescent="0.25">
      <c r="A111" s="1" t="s">
        <v>36</v>
      </c>
      <c r="B111" s="2">
        <v>3</v>
      </c>
      <c r="C111" s="114" t="s">
        <v>108</v>
      </c>
      <c r="D111" s="10"/>
    </row>
    <row r="112" spans="1:4" ht="27" x14ac:dyDescent="0.25">
      <c r="A112" s="1" t="s">
        <v>27</v>
      </c>
      <c r="B112" s="2">
        <v>5</v>
      </c>
      <c r="C112" s="114" t="s">
        <v>109</v>
      </c>
      <c r="D112" s="10"/>
    </row>
    <row r="113" spans="1:4" ht="27" x14ac:dyDescent="0.25">
      <c r="A113" s="1" t="s">
        <v>26</v>
      </c>
      <c r="B113" s="2">
        <v>1</v>
      </c>
      <c r="C113" s="114" t="s">
        <v>110</v>
      </c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ht="14.25" thickBot="1" x14ac:dyDescent="0.3">
      <c r="A117" s="1"/>
      <c r="B117" s="2"/>
      <c r="C117" s="10"/>
      <c r="D117" s="10"/>
    </row>
    <row r="118" spans="1:4" ht="14.25" thickBot="1" x14ac:dyDescent="0.3">
      <c r="A118" s="48" t="s">
        <v>22</v>
      </c>
      <c r="B118" s="48">
        <f>SUM(B110:B117)</f>
        <v>12</v>
      </c>
      <c r="C118" s="112" t="s">
        <v>50</v>
      </c>
      <c r="D118" s="49"/>
    </row>
    <row r="119" spans="1:4" ht="15" thickBot="1" x14ac:dyDescent="0.35">
      <c r="A119" s="50"/>
      <c r="B119" s="50"/>
      <c r="C119" s="50"/>
      <c r="D119" s="50"/>
    </row>
    <row r="120" spans="1:4" ht="18.75" thickBot="1" x14ac:dyDescent="0.3">
      <c r="A120" s="43" t="s">
        <v>14</v>
      </c>
      <c r="B120" s="44">
        <v>11</v>
      </c>
      <c r="C120" s="45" t="s">
        <v>23</v>
      </c>
      <c r="D120" s="54">
        <f>$D$108+7</f>
        <v>44519</v>
      </c>
    </row>
    <row r="121" spans="1:4" ht="27.75" thickBot="1" x14ac:dyDescent="0.3">
      <c r="A121" s="46" t="s">
        <v>3</v>
      </c>
      <c r="B121" s="47" t="s">
        <v>15</v>
      </c>
      <c r="C121" s="46" t="s">
        <v>7</v>
      </c>
      <c r="D121" s="46" t="s">
        <v>13</v>
      </c>
    </row>
    <row r="122" spans="1:4" x14ac:dyDescent="0.25">
      <c r="A122" s="5"/>
      <c r="B122" s="4"/>
      <c r="C122" s="9"/>
      <c r="D122" s="9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2"/>
      <c r="B131" s="2"/>
      <c r="C131" s="10"/>
      <c r="D131" s="10"/>
    </row>
    <row r="132" spans="1:4" x14ac:dyDescent="0.25">
      <c r="A132" s="2"/>
      <c r="B132" s="2"/>
      <c r="C132" s="10"/>
      <c r="D132" s="10"/>
    </row>
    <row r="133" spans="1:4" x14ac:dyDescent="0.25">
      <c r="A133" s="2"/>
      <c r="B133" s="2"/>
      <c r="C133" s="10"/>
      <c r="D133" s="10"/>
    </row>
    <row r="134" spans="1:4" x14ac:dyDescent="0.25">
      <c r="A134" s="51"/>
      <c r="B134" s="51"/>
      <c r="C134" s="52"/>
      <c r="D134" s="52"/>
    </row>
    <row r="135" spans="1:4" x14ac:dyDescent="0.25">
      <c r="A135" s="51"/>
      <c r="B135" s="51"/>
      <c r="C135" s="52"/>
      <c r="D135" s="52"/>
    </row>
    <row r="136" spans="1:4" ht="14.25" thickBot="1" x14ac:dyDescent="0.3">
      <c r="A136" s="3"/>
      <c r="B136" s="3"/>
      <c r="C136" s="11"/>
      <c r="D136" s="11"/>
    </row>
    <row r="137" spans="1:4" ht="14.25" thickBot="1" x14ac:dyDescent="0.3">
      <c r="A137" s="48" t="s">
        <v>22</v>
      </c>
      <c r="B137" s="48">
        <f>SUM(B122:B136)</f>
        <v>0</v>
      </c>
      <c r="C137" s="112" t="s">
        <v>50</v>
      </c>
      <c r="D137" s="49"/>
    </row>
    <row r="138" spans="1:4" ht="15" thickBot="1" x14ac:dyDescent="0.35">
      <c r="A138" s="50"/>
      <c r="B138" s="50"/>
      <c r="C138" s="50"/>
      <c r="D138" s="50"/>
    </row>
    <row r="139" spans="1:4" ht="18.75" thickBot="1" x14ac:dyDescent="0.3">
      <c r="A139" s="43" t="s">
        <v>14</v>
      </c>
      <c r="B139" s="44">
        <v>12</v>
      </c>
      <c r="C139" s="45" t="s">
        <v>23</v>
      </c>
      <c r="D139" s="54">
        <f>$D$120+7</f>
        <v>44526</v>
      </c>
    </row>
    <row r="140" spans="1:4" ht="27.75" thickBot="1" x14ac:dyDescent="0.3">
      <c r="A140" s="46" t="s">
        <v>3</v>
      </c>
      <c r="B140" s="47" t="s">
        <v>15</v>
      </c>
      <c r="C140" s="46" t="s">
        <v>7</v>
      </c>
      <c r="D140" s="46" t="s">
        <v>13</v>
      </c>
    </row>
    <row r="141" spans="1:4" x14ac:dyDescent="0.25">
      <c r="A141" s="5"/>
      <c r="B141" s="4"/>
      <c r="C141" s="9"/>
      <c r="D141" s="9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1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x14ac:dyDescent="0.25">
      <c r="A152" s="2"/>
      <c r="B152" s="2"/>
      <c r="C152" s="10"/>
      <c r="D152" s="10"/>
    </row>
    <row r="153" spans="1:4" x14ac:dyDescent="0.25">
      <c r="A153" s="51"/>
      <c r="B153" s="51"/>
      <c r="C153" s="52"/>
      <c r="D153" s="52"/>
    </row>
    <row r="154" spans="1:4" x14ac:dyDescent="0.25">
      <c r="A154" s="51"/>
      <c r="B154" s="51"/>
      <c r="C154" s="52"/>
      <c r="D154" s="52"/>
    </row>
    <row r="155" spans="1:4" ht="14.25" thickBot="1" x14ac:dyDescent="0.3">
      <c r="A155" s="3"/>
      <c r="B155" s="3"/>
      <c r="C155" s="11"/>
      <c r="D155" s="11"/>
    </row>
    <row r="156" spans="1:4" ht="14.25" thickBot="1" x14ac:dyDescent="0.3">
      <c r="A156" s="48" t="s">
        <v>22</v>
      </c>
      <c r="B156" s="48">
        <f>SUM(B141:B155)</f>
        <v>0</v>
      </c>
      <c r="C156" s="112" t="s">
        <v>50</v>
      </c>
      <c r="D156" s="49"/>
    </row>
    <row r="157" spans="1:4" ht="15" thickBot="1" x14ac:dyDescent="0.35">
      <c r="A157" s="50"/>
      <c r="B157" s="50"/>
      <c r="C157" s="50"/>
      <c r="D157" s="50"/>
    </row>
    <row r="158" spans="1:4" ht="18.75" thickBot="1" x14ac:dyDescent="0.3">
      <c r="A158" s="43" t="s">
        <v>14</v>
      </c>
      <c r="B158" s="44">
        <v>13</v>
      </c>
      <c r="C158" s="45" t="s">
        <v>23</v>
      </c>
      <c r="D158" s="54">
        <f>$D$139+7</f>
        <v>44533</v>
      </c>
    </row>
    <row r="159" spans="1:4" ht="27.75" thickBot="1" x14ac:dyDescent="0.3">
      <c r="A159" s="46" t="s">
        <v>3</v>
      </c>
      <c r="B159" s="47" t="s">
        <v>15</v>
      </c>
      <c r="C159" s="46" t="s">
        <v>7</v>
      </c>
      <c r="D159" s="46" t="s">
        <v>13</v>
      </c>
    </row>
    <row r="160" spans="1:4" x14ac:dyDescent="0.25">
      <c r="A160" s="5"/>
      <c r="B160" s="4"/>
      <c r="C160" s="9"/>
      <c r="D160" s="9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1"/>
      <c r="B166" s="2"/>
      <c r="C166" s="10"/>
      <c r="D166" s="10"/>
    </row>
    <row r="167" spans="1:4" x14ac:dyDescent="0.25">
      <c r="A167" s="1"/>
      <c r="B167" s="2"/>
      <c r="C167" s="10"/>
      <c r="D167" s="10"/>
    </row>
    <row r="168" spans="1:4" x14ac:dyDescent="0.25">
      <c r="A168" s="1"/>
      <c r="B168" s="2"/>
      <c r="C168" s="10"/>
      <c r="D168" s="10"/>
    </row>
    <row r="169" spans="1:4" x14ac:dyDescent="0.25">
      <c r="A169" s="2"/>
      <c r="B169" s="2"/>
      <c r="C169" s="10"/>
      <c r="D169" s="10"/>
    </row>
    <row r="170" spans="1:4" x14ac:dyDescent="0.25">
      <c r="A170" s="2"/>
      <c r="B170" s="2"/>
      <c r="C170" s="10"/>
      <c r="D170" s="10"/>
    </row>
    <row r="171" spans="1:4" x14ac:dyDescent="0.25">
      <c r="A171" s="2"/>
      <c r="B171" s="2"/>
      <c r="C171" s="10"/>
      <c r="D171" s="10"/>
    </row>
    <row r="172" spans="1:4" x14ac:dyDescent="0.25">
      <c r="A172" s="51"/>
      <c r="B172" s="51"/>
      <c r="C172" s="52"/>
      <c r="D172" s="52"/>
    </row>
    <row r="173" spans="1:4" x14ac:dyDescent="0.25">
      <c r="A173" s="51"/>
      <c r="B173" s="51"/>
      <c r="C173" s="52"/>
      <c r="D173" s="52"/>
    </row>
    <row r="174" spans="1:4" ht="14.25" thickBot="1" x14ac:dyDescent="0.3">
      <c r="A174" s="3"/>
      <c r="B174" s="3"/>
      <c r="C174" s="11"/>
      <c r="D174" s="11"/>
    </row>
    <row r="175" spans="1:4" ht="14.25" thickBot="1" x14ac:dyDescent="0.3">
      <c r="A175" s="48" t="s">
        <v>22</v>
      </c>
      <c r="B175" s="48">
        <f>SUM(B160:B174)</f>
        <v>0</v>
      </c>
      <c r="C175" s="112" t="s">
        <v>50</v>
      </c>
      <c r="D175" s="49"/>
    </row>
    <row r="176" spans="1:4" ht="15" thickBot="1" x14ac:dyDescent="0.35">
      <c r="A176" s="50"/>
      <c r="B176" s="50"/>
      <c r="C176" s="50"/>
      <c r="D176" s="50"/>
    </row>
    <row r="177" spans="1:4" ht="18.75" thickBot="1" x14ac:dyDescent="0.3">
      <c r="A177" s="43" t="s">
        <v>14</v>
      </c>
      <c r="B177" s="44">
        <v>14</v>
      </c>
      <c r="C177" s="45" t="s">
        <v>23</v>
      </c>
      <c r="D177" s="54">
        <f>$D$158+7</f>
        <v>44540</v>
      </c>
    </row>
    <row r="178" spans="1:4" ht="27.75" thickBot="1" x14ac:dyDescent="0.3">
      <c r="A178" s="46" t="s">
        <v>3</v>
      </c>
      <c r="B178" s="47" t="s">
        <v>15</v>
      </c>
      <c r="C178" s="46" t="s">
        <v>7</v>
      </c>
      <c r="D178" s="46" t="s">
        <v>13</v>
      </c>
    </row>
    <row r="179" spans="1:4" x14ac:dyDescent="0.25">
      <c r="A179" s="5"/>
      <c r="B179" s="4"/>
      <c r="C179" s="9"/>
      <c r="D179" s="9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1"/>
      <c r="B185" s="2"/>
      <c r="C185" s="10"/>
      <c r="D185" s="10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2"/>
      <c r="B188" s="2"/>
      <c r="C188" s="10"/>
      <c r="D188" s="10"/>
    </row>
    <row r="189" spans="1:4" x14ac:dyDescent="0.25">
      <c r="A189" s="2"/>
      <c r="B189" s="2"/>
      <c r="C189" s="10"/>
      <c r="D189" s="10"/>
    </row>
    <row r="190" spans="1:4" x14ac:dyDescent="0.25">
      <c r="A190" s="2"/>
      <c r="B190" s="2"/>
      <c r="C190" s="10"/>
      <c r="D190" s="10"/>
    </row>
    <row r="191" spans="1:4" x14ac:dyDescent="0.25">
      <c r="A191" s="51"/>
      <c r="B191" s="51"/>
      <c r="C191" s="52"/>
      <c r="D191" s="52"/>
    </row>
    <row r="192" spans="1:4" x14ac:dyDescent="0.25">
      <c r="A192" s="51"/>
      <c r="B192" s="51"/>
      <c r="C192" s="52"/>
      <c r="D192" s="52"/>
    </row>
    <row r="193" spans="1:4" ht="14.25" thickBot="1" x14ac:dyDescent="0.3">
      <c r="A193" s="3"/>
      <c r="B193" s="3"/>
      <c r="C193" s="11"/>
      <c r="D193" s="11"/>
    </row>
    <row r="194" spans="1:4" ht="14.25" thickBot="1" x14ac:dyDescent="0.3">
      <c r="A194" s="48" t="s">
        <v>22</v>
      </c>
      <c r="B194" s="48">
        <f>SUM(B179:B193)</f>
        <v>0</v>
      </c>
      <c r="C194" s="112" t="s">
        <v>50</v>
      </c>
      <c r="D194" s="49"/>
    </row>
    <row r="195" spans="1:4" ht="15" thickBot="1" x14ac:dyDescent="0.35">
      <c r="A195" s="50"/>
      <c r="B195" s="50"/>
      <c r="C195" s="50"/>
      <c r="D195" s="50"/>
    </row>
    <row r="196" spans="1:4" ht="18.75" thickBot="1" x14ac:dyDescent="0.3">
      <c r="A196" s="43" t="s">
        <v>14</v>
      </c>
      <c r="B196" s="44">
        <v>15</v>
      </c>
      <c r="C196" s="45" t="s">
        <v>23</v>
      </c>
      <c r="D196" s="54">
        <f>$D$177+7</f>
        <v>44547</v>
      </c>
    </row>
    <row r="197" spans="1:4" ht="27.75" thickBot="1" x14ac:dyDescent="0.3">
      <c r="A197" s="46" t="s">
        <v>3</v>
      </c>
      <c r="B197" s="47" t="s">
        <v>15</v>
      </c>
      <c r="C197" s="46" t="s">
        <v>7</v>
      </c>
      <c r="D197" s="46" t="s">
        <v>13</v>
      </c>
    </row>
    <row r="198" spans="1:4" x14ac:dyDescent="0.25">
      <c r="A198" s="5"/>
      <c r="B198" s="4"/>
      <c r="C198" s="9"/>
      <c r="D198" s="9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1"/>
      <c r="B205" s="2"/>
      <c r="C205" s="10"/>
      <c r="D205" s="10"/>
    </row>
    <row r="206" spans="1:4" x14ac:dyDescent="0.25">
      <c r="A206" s="1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x14ac:dyDescent="0.25">
      <c r="A208" s="2"/>
      <c r="B208" s="2"/>
      <c r="C208" s="10"/>
      <c r="D208" s="10"/>
    </row>
    <row r="209" spans="1:4" x14ac:dyDescent="0.25">
      <c r="A209" s="2"/>
      <c r="B209" s="2"/>
      <c r="C209" s="10"/>
      <c r="D209" s="10"/>
    </row>
    <row r="210" spans="1:4" x14ac:dyDescent="0.25">
      <c r="A210" s="51"/>
      <c r="B210" s="51"/>
      <c r="C210" s="52"/>
      <c r="D210" s="52"/>
    </row>
    <row r="211" spans="1:4" x14ac:dyDescent="0.25">
      <c r="A211" s="51"/>
      <c r="B211" s="51"/>
      <c r="C211" s="52"/>
      <c r="D211" s="52"/>
    </row>
    <row r="212" spans="1:4" ht="14.25" thickBot="1" x14ac:dyDescent="0.3">
      <c r="A212" s="3"/>
      <c r="B212" s="3"/>
      <c r="C212" s="11"/>
      <c r="D212" s="11"/>
    </row>
    <row r="213" spans="1:4" ht="14.25" thickBot="1" x14ac:dyDescent="0.3">
      <c r="A213" s="48" t="s">
        <v>22</v>
      </c>
      <c r="B213" s="48">
        <f>SUM(B198:B212)</f>
        <v>0</v>
      </c>
      <c r="C213" s="112" t="s">
        <v>50</v>
      </c>
      <c r="D213" s="49"/>
    </row>
    <row r="214" spans="1:4" ht="15" thickBot="1" x14ac:dyDescent="0.35">
      <c r="A214" s="50"/>
      <c r="B214" s="50"/>
      <c r="C214" s="50"/>
      <c r="D214" s="50"/>
    </row>
    <row r="215" spans="1:4" ht="18.75" thickBot="1" x14ac:dyDescent="0.3">
      <c r="A215" s="43" t="s">
        <v>14</v>
      </c>
      <c r="B215" s="44">
        <v>16</v>
      </c>
      <c r="C215" s="45" t="s">
        <v>23</v>
      </c>
      <c r="D215" s="54">
        <f>$D$196+7</f>
        <v>44554</v>
      </c>
    </row>
    <row r="216" spans="1:4" ht="27.75" thickBot="1" x14ac:dyDescent="0.3">
      <c r="A216" s="46" t="s">
        <v>3</v>
      </c>
      <c r="B216" s="47" t="s">
        <v>15</v>
      </c>
      <c r="C216" s="46" t="s">
        <v>7</v>
      </c>
      <c r="D216" s="46" t="s">
        <v>13</v>
      </c>
    </row>
    <row r="217" spans="1:4" x14ac:dyDescent="0.25">
      <c r="A217" s="5"/>
      <c r="B217" s="4"/>
      <c r="C217" s="9"/>
      <c r="D217" s="9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1"/>
      <c r="B221" s="2"/>
      <c r="C221" s="10"/>
      <c r="D221" s="10"/>
    </row>
    <row r="222" spans="1:4" x14ac:dyDescent="0.25">
      <c r="A222" s="1"/>
      <c r="B222" s="2"/>
      <c r="C222" s="10"/>
      <c r="D222" s="10"/>
    </row>
    <row r="223" spans="1:4" x14ac:dyDescent="0.25">
      <c r="A223" s="1"/>
      <c r="B223" s="2"/>
      <c r="C223" s="10"/>
      <c r="D223" s="10"/>
    </row>
    <row r="224" spans="1:4" x14ac:dyDescent="0.25">
      <c r="A224" s="1"/>
      <c r="B224" s="2"/>
      <c r="C224" s="10"/>
      <c r="D224" s="10"/>
    </row>
    <row r="225" spans="1:4" x14ac:dyDescent="0.25">
      <c r="A225" s="1"/>
      <c r="B225" s="2"/>
      <c r="C225" s="10"/>
      <c r="D225" s="10"/>
    </row>
    <row r="226" spans="1:4" x14ac:dyDescent="0.25">
      <c r="A226" s="2"/>
      <c r="B226" s="2"/>
      <c r="C226" s="10"/>
      <c r="D226" s="10"/>
    </row>
    <row r="227" spans="1:4" x14ac:dyDescent="0.25">
      <c r="A227" s="2"/>
      <c r="B227" s="2"/>
      <c r="C227" s="10"/>
      <c r="D227" s="10"/>
    </row>
    <row r="228" spans="1:4" x14ac:dyDescent="0.25">
      <c r="A228" s="2"/>
      <c r="B228" s="2"/>
      <c r="C228" s="10"/>
      <c r="D228" s="10"/>
    </row>
    <row r="229" spans="1:4" x14ac:dyDescent="0.25">
      <c r="A229" s="51"/>
      <c r="B229" s="51"/>
      <c r="C229" s="52"/>
      <c r="D229" s="52"/>
    </row>
    <row r="230" spans="1:4" x14ac:dyDescent="0.25">
      <c r="A230" s="51"/>
      <c r="B230" s="51"/>
      <c r="C230" s="52"/>
      <c r="D230" s="52"/>
    </row>
    <row r="231" spans="1:4" ht="14.25" thickBot="1" x14ac:dyDescent="0.3">
      <c r="A231" s="3"/>
      <c r="B231" s="3"/>
      <c r="C231" s="11"/>
      <c r="D231" s="11"/>
    </row>
    <row r="232" spans="1:4" ht="14.25" thickBot="1" x14ac:dyDescent="0.3">
      <c r="A232" s="48" t="s">
        <v>22</v>
      </c>
      <c r="B232" s="48">
        <f>SUM(B217:B231)</f>
        <v>0</v>
      </c>
      <c r="C232" s="112" t="s">
        <v>50</v>
      </c>
      <c r="D232" s="49"/>
    </row>
    <row r="233" spans="1:4" ht="14.25" x14ac:dyDescent="0.3">
      <c r="A233" s="50"/>
      <c r="B233" s="50"/>
      <c r="C233" s="50"/>
      <c r="D233" s="50"/>
    </row>
    <row r="234" spans="1:4" x14ac:dyDescent="0.25">
      <c r="A234" s="89" t="s">
        <v>51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19:F21 B3:B9 B14:B21 B26:B34 B39:B47 B52:B60 B217:B231 B65:B71 B76:B83 B88:B94 B99:B105 B122:B136 B141:B155 B160:B174 B179:B193 B198:B212 B110:B11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2 B35 B48 B61 B72 B84 B95 B106 B118 B137 B156 B175 B194 B213 B232">
      <formula1>0</formula1>
      <formula2>NbPerWeek * NbQuartPer</formula2>
    </dataValidation>
    <dataValidation type="list" allowBlank="1" showInputMessage="1" showErrorMessage="1" sqref="A3:A9 A14:A21 A26:A34 A39:A47 A52:A60 A65:A71 A217:A231 A76:A83 A88:A94 A99:A105 A122:A136 A141:A155 A160:A174 A179:A193 A198:A212 A110:A117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David Dieperink</cp:lastModifiedBy>
  <cp:lastPrinted>2013-08-29T11:33:15Z</cp:lastPrinted>
  <dcterms:created xsi:type="dcterms:W3CDTF">1996-10-21T11:03:58Z</dcterms:created>
  <dcterms:modified xsi:type="dcterms:W3CDTF">2021-11-19T07:10:17Z</dcterms:modified>
</cp:coreProperties>
</file>