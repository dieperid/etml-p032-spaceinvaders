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32_Dev\etml-p032-spaceinvaders\documentation\work-file\"/>
    </mc:Choice>
  </mc:AlternateContent>
  <bookViews>
    <workbookView xWindow="0" yWindow="0" windowWidth="19200" windowHeight="8355" activeTab="1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0" l="1"/>
  <c r="D12" i="160" s="1"/>
  <c r="D24" i="160" s="1"/>
  <c r="D37" i="160" s="1"/>
  <c r="D50" i="160" s="1"/>
  <c r="D63" i="160" s="1"/>
  <c r="D74" i="160" s="1"/>
  <c r="B210" i="160"/>
  <c r="B191" i="160"/>
  <c r="B172" i="160"/>
  <c r="B153" i="160"/>
  <c r="B144" i="160"/>
  <c r="B129" i="160"/>
  <c r="B118" i="160"/>
  <c r="B106" i="160"/>
  <c r="B95" i="160"/>
  <c r="B84" i="160"/>
  <c r="B72" i="160"/>
  <c r="B61" i="160"/>
  <c r="B48" i="160"/>
  <c r="B35" i="160"/>
  <c r="B22" i="160"/>
  <c r="B10" i="160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51" i="157"/>
  <c r="B49" i="157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4" i="157"/>
  <c r="C53" i="157"/>
  <c r="D86" i="160" l="1"/>
  <c r="D97" i="160" s="1"/>
  <c r="D108" i="160" s="1"/>
  <c r="D120" i="160" s="1"/>
  <c r="D131" i="160" s="1"/>
  <c r="D146" i="160" s="1"/>
  <c r="D155" i="160" s="1"/>
  <c r="D174" i="160" s="1"/>
  <c r="D193" i="160" s="1"/>
  <c r="B18" i="154"/>
  <c r="B13" i="11" l="1"/>
</calcChain>
</file>

<file path=xl/sharedStrings.xml><?xml version="1.0" encoding="utf-8"?>
<sst xmlns="http://schemas.openxmlformats.org/spreadsheetml/2006/main" count="522" uniqueCount="122">
  <si>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</si>
  <si>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</si>
  <si>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</si>
  <si>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</si>
  <si>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</si>
  <si>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</si>
  <si>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</si>
  <si>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</si>
  <si>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</si>
  <si>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</si>
  <si>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</si>
  <si>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</si>
  <si>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</si>
  <si>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</si>
  <si>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</si>
  <si>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</si>
  <si>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</si>
  <si>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</si>
  <si>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</si>
  <si>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</si>
  <si>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</si>
  <si>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</si>
  <si>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</si>
  <si>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</si>
  <si>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</si>
  <si>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</si>
  <si>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</si>
  <si>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</si>
  <si>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</si>
  <si>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</si>
  <si>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</si>
  <si>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</si>
  <si>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</si>
  <si>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</si>
  <si>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</si>
  <si>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</si>
  <si>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</si>
  <si>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</si>
  <si>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</si>
  <si>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</si>
  <si>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</si>
  <si>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</si>
  <si>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</si>
  <si>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</si>
  <si>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</si>
  <si>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</si>
  <si>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</si>
  <si>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</si>
  <si>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</si>
  <si>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</si>
  <si>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</si>
  <si>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</si>
  <si>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</si>
  <si>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</si>
  <si>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</si>
  <si>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</si>
  <si>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</si>
  <si>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</si>
  <si>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</si>
  <si>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</si>
  <si>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</si>
  <si>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</si>
  <si>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</si>
  <si>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</si>
  <si>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</si>
  <si>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</si>
  <si>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</si>
  <si>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</si>
  <si>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David Dieperink</t>
  </si>
  <si>
    <t>CID2A</t>
  </si>
  <si>
    <t>Lecture du cahier des charges + récupérer et mettre en place les différentes choses utiles ( journal de travail, fichier, etc.. )</t>
  </si>
  <si>
    <t>Création du Menu et Design</t>
  </si>
  <si>
    <t>Design du Vaisseau principal</t>
  </si>
  <si>
    <t>Remplissage du journal de travail pour la semaine 1</t>
  </si>
  <si>
    <t>Modification du Menu et création des autres options</t>
  </si>
  <si>
    <t>Adaptation pour le menu options</t>
  </si>
  <si>
    <t>Remplissage du journal de travail pour la semaine 2</t>
  </si>
  <si>
    <t>Modification du menu de base + implémentation d'un tout nouveau menu</t>
  </si>
  <si>
    <t>Création du menu pour les options avec l'ajout du choix pour les son</t>
  </si>
  <si>
    <t>Finition du menu principal</t>
  </si>
  <si>
    <t>Finition du menu option</t>
  </si>
  <si>
    <t>Design du vaisseau fini</t>
  </si>
  <si>
    <t>Début de la création du mouvement du vaisseau</t>
  </si>
  <si>
    <t>Remplissage du journal de travail pour la semaine 2 et 3</t>
  </si>
  <si>
    <t>Création du mouvement pour le tir</t>
  </si>
  <si>
    <t>Adaptation pour le mouvement du vaisseau</t>
  </si>
  <si>
    <t>Création du menu pour l'interface du jeu</t>
  </si>
  <si>
    <t>Comprendre les mouvements des ennemis</t>
  </si>
  <si>
    <t>Remplissage du journal de travail pour la semaine 4</t>
  </si>
  <si>
    <t>Finition du mouvement du vaisseau à l'intérieur d'un tableau (case par case)</t>
  </si>
  <si>
    <t>Adaptation du design au tableau</t>
  </si>
  <si>
    <t>Adaptation des tirs avec le tableau</t>
  </si>
  <si>
    <t>Test de déplacement pour les ennemis</t>
  </si>
  <si>
    <t>Remplissage du journal de travail pour la semaine 5</t>
  </si>
  <si>
    <t>Changement complet du code, mise en place de list pour contenir les vaisseau et faire le déplacement en bloc</t>
  </si>
  <si>
    <t>Test de la hitbox des vaisseaux ennemi</t>
  </si>
  <si>
    <t>Remplissage du journal de travail pour la semaine 6</t>
  </si>
  <si>
    <t>Implémentation d'une nouvelle manière de tirer + fluide</t>
  </si>
  <si>
    <t>Réorganisation complète des class + commentaire</t>
  </si>
  <si>
    <t>Implémentation du score lors de la déstruction d'un ennemi</t>
  </si>
  <si>
    <t>Remplissage du journal de travail pour la semaine 7</t>
  </si>
  <si>
    <t>Réglage des problèmes de tir des vaisseaux ennemi, (si il y'avait un autre ennemi devant ils tiraient quand meme). Problème résolu</t>
  </si>
  <si>
    <t>Réglage d'un bug de déplacement (traversait le bord de la console)</t>
  </si>
  <si>
    <t>Remplissage du journal de travail pour la semaine 8</t>
  </si>
  <si>
    <t>Ajout de 3 vies au vaisseau, codage de la hitbox (si une balle ennemi touche le vaisseau). Une fois mort il repart à sa position de départ</t>
  </si>
  <si>
    <t>Création du menu Game Over</t>
  </si>
  <si>
    <t>Remplissage du journal de travail pour la semaine 9</t>
  </si>
  <si>
    <t>Ajout du tir sur les murs pour le vaisseau principal -&gt; si un mur touché il perd de la vie</t>
  </si>
  <si>
    <t>Ajout du tir sur les murs pour les invaders -&gt; si un mur touché il perd de la vie</t>
  </si>
  <si>
    <t>Ajout de la class Wall et de ses paramètres + les méthodes de génération, update et affichage</t>
  </si>
  <si>
    <t>Remplissage du journal de travail pour la semaine 10</t>
  </si>
  <si>
    <t>Création du menu Highscore et des paramètres pour récupérer le score etc</t>
  </si>
  <si>
    <t>Recherche pour la documentation UML - Diagramme de classe</t>
  </si>
  <si>
    <t>Remplissage du journal de travail pour la semaine 11</t>
  </si>
  <si>
    <t>Test de la génération des Invaders avec la difficulté easy et hard</t>
  </si>
  <si>
    <t>Test du déplacement des Invaders</t>
  </si>
  <si>
    <t>Test de GameOver sur le Hero quand sa vie est à 0</t>
  </si>
  <si>
    <t>Test de GameOver sur les ennemis quand la list d'invaders est à 0</t>
  </si>
  <si>
    <t>Test au lancement du jeu si le Hero a 3 vies</t>
  </si>
  <si>
    <t>Test sur la génération des murs, si ils perdent de la vie et si dès qu'ils ont 0 vie ils sont supprimé de la list</t>
  </si>
  <si>
    <t>Remplissage du journal de travail pour la semaine 12</t>
  </si>
  <si>
    <t>Absent rendez-vous médical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</si>
</sst>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="85" zoomScaleNormal="100" zoomScaleSheetLayoutView="85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68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69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44554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5" t="s">
        <v>19</v>
      </c>
      <c r="C19" s="12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44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45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46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47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48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49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M54"/>
  <sheetViews>
    <sheetView tabSelected="1"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95" ht="14.25" thickBot="1" x14ac:dyDescent="0.3">
      <c r="B1" s="91"/>
      <c r="C1" s="91"/>
    </row>
    <row r="2" spans="1:195" ht="42.75" customHeight="1" thickBot="1" x14ac:dyDescent="0.3">
      <c r="A2" s="92"/>
      <c r="B2" s="23" t="s">
        <v>5</v>
      </c>
      <c r="C2" s="15" t="s">
        <v>18</v>
      </c>
      <c r="D2" s="132" t="s">
        <v>52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4"/>
      <c r="P2" s="132" t="s">
        <v>53</v>
      </c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4"/>
      <c r="AB2" s="132" t="s">
        <v>54</v>
      </c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4"/>
      <c r="AN2" s="132" t="s">
        <v>55</v>
      </c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4"/>
      <c r="AZ2" s="132" t="s">
        <v>56</v>
      </c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4"/>
      <c r="BL2" s="132" t="s">
        <v>57</v>
      </c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4"/>
      <c r="BX2" s="132" t="s">
        <v>58</v>
      </c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4"/>
      <c r="CJ2" s="132" t="s">
        <v>59</v>
      </c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4"/>
      <c r="CV2" s="132" t="s">
        <v>60</v>
      </c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4"/>
      <c r="DH2" s="132" t="s">
        <v>61</v>
      </c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4"/>
      <c r="DT2" s="132" t="s">
        <v>62</v>
      </c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4"/>
      <c r="EF2" s="132" t="s">
        <v>63</v>
      </c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4"/>
      <c r="ER2" s="132" t="s">
        <v>64</v>
      </c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4"/>
      <c r="FD2" s="132" t="s">
        <v>65</v>
      </c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4"/>
      <c r="FP2" s="132" t="s">
        <v>66</v>
      </c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4"/>
      <c r="GB2" s="132" t="s">
        <v>67</v>
      </c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4"/>
    </row>
    <row r="3" spans="1:195" ht="19.5" customHeight="1" x14ac:dyDescent="0.25">
      <c r="A3" s="92"/>
      <c r="B3" s="129" t="s">
        <v>21</v>
      </c>
      <c r="C3" s="16">
        <v>15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116"/>
      <c r="CC3" s="117"/>
      <c r="CD3" s="118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115"/>
      <c r="ES3" s="116"/>
      <c r="ET3" s="117"/>
      <c r="EU3" s="118"/>
      <c r="EV3" s="116"/>
      <c r="EW3" s="117"/>
      <c r="EX3" s="118"/>
      <c r="EY3" s="116"/>
      <c r="EZ3" s="117"/>
      <c r="FA3" s="118"/>
      <c r="FB3" s="116"/>
      <c r="FC3" s="119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</row>
    <row r="4" spans="1:195" ht="19.5" customHeight="1" thickBot="1" x14ac:dyDescent="0.3">
      <c r="A4" s="92"/>
      <c r="B4" s="130"/>
      <c r="C4" s="22">
        <v>15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121"/>
      <c r="CC4" s="122"/>
      <c r="CD4" s="123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120"/>
      <c r="ES4" s="121"/>
      <c r="ET4" s="122"/>
      <c r="EU4" s="123"/>
      <c r="EV4" s="121"/>
      <c r="EW4" s="122"/>
      <c r="EX4" s="123"/>
      <c r="EY4" s="121"/>
      <c r="EZ4" s="122"/>
      <c r="FA4" s="123"/>
      <c r="FB4" s="121"/>
      <c r="FC4" s="124"/>
      <c r="FD4" s="98"/>
      <c r="FE4" s="99"/>
      <c r="FF4" s="100"/>
      <c r="FG4" s="101"/>
      <c r="FH4" s="99"/>
      <c r="FI4" s="100"/>
      <c r="FJ4" s="101"/>
      <c r="FK4" s="99"/>
      <c r="FL4" s="100"/>
      <c r="FM4" s="101"/>
      <c r="FN4" s="99"/>
      <c r="FO4" s="102"/>
      <c r="FP4" s="98"/>
      <c r="FQ4" s="99"/>
      <c r="FR4" s="100"/>
      <c r="FS4" s="101"/>
      <c r="FT4" s="99"/>
      <c r="FU4" s="100"/>
      <c r="FV4" s="101"/>
      <c r="FW4" s="99"/>
      <c r="FX4" s="100"/>
      <c r="FY4" s="101"/>
      <c r="FZ4" s="99"/>
      <c r="GA4" s="102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</row>
    <row r="5" spans="1:195" ht="19.5" customHeight="1" x14ac:dyDescent="0.25">
      <c r="B5" s="131" t="str">
        <f>Donnees!$C$21</f>
        <v>Lecture du cahier des charge / planification</v>
      </c>
      <c r="C5" s="103">
        <v>14</v>
      </c>
      <c r="D5" s="115"/>
      <c r="E5" s="116"/>
      <c r="F5" s="95"/>
      <c r="G5" s="96"/>
      <c r="H5" s="94"/>
      <c r="I5" s="95"/>
      <c r="J5" s="96"/>
      <c r="K5" s="94"/>
      <c r="L5" s="95"/>
      <c r="M5" s="96"/>
      <c r="N5" s="94"/>
      <c r="O5" s="97"/>
      <c r="P5" s="115"/>
      <c r="Q5" s="94"/>
      <c r="R5" s="95"/>
      <c r="S5" s="96"/>
      <c r="T5" s="94"/>
      <c r="U5" s="95"/>
      <c r="V5" s="96"/>
      <c r="W5" s="94"/>
      <c r="X5" s="95"/>
      <c r="Y5" s="96"/>
      <c r="Z5" s="94"/>
      <c r="AA5" s="119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119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119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119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119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119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119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119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119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119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119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7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</row>
    <row r="6" spans="1:195" ht="19.5" customHeight="1" thickBot="1" x14ac:dyDescent="0.3">
      <c r="B6" s="128"/>
      <c r="C6" s="104">
        <v>14</v>
      </c>
      <c r="D6" s="120"/>
      <c r="E6" s="121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120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24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24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24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24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24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24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24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24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24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24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02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02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</row>
    <row r="7" spans="1:195" ht="19.5" customHeight="1" x14ac:dyDescent="0.25">
      <c r="B7" s="127" t="str">
        <f>Donnees!$C$22</f>
        <v>Menu</v>
      </c>
      <c r="C7" s="103">
        <v>27</v>
      </c>
      <c r="D7" s="93"/>
      <c r="E7" s="94"/>
      <c r="F7" s="117"/>
      <c r="G7" s="118"/>
      <c r="H7" s="116"/>
      <c r="I7" s="117"/>
      <c r="J7" s="118"/>
      <c r="K7" s="116"/>
      <c r="L7" s="117"/>
      <c r="M7" s="96"/>
      <c r="N7" s="94"/>
      <c r="O7" s="97"/>
      <c r="P7" s="93"/>
      <c r="Q7" s="116"/>
      <c r="R7" s="117"/>
      <c r="S7" s="118"/>
      <c r="T7" s="116"/>
      <c r="U7" s="117"/>
      <c r="V7" s="118"/>
      <c r="W7" s="94"/>
      <c r="X7" s="95"/>
      <c r="Y7" s="96"/>
      <c r="Z7" s="94"/>
      <c r="AA7" s="97"/>
      <c r="AB7" s="115"/>
      <c r="AC7" s="116"/>
      <c r="AD7" s="117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116"/>
      <c r="AV7" s="117"/>
      <c r="AW7" s="118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117"/>
      <c r="DE7" s="118"/>
      <c r="DF7" s="116"/>
      <c r="DG7" s="97"/>
      <c r="DH7" s="93"/>
      <c r="DI7" s="94"/>
      <c r="DJ7" s="95"/>
      <c r="DK7" s="96"/>
      <c r="DL7" s="94"/>
      <c r="DM7" s="95"/>
      <c r="DN7" s="118"/>
      <c r="DO7" s="116"/>
      <c r="DP7" s="117"/>
      <c r="DQ7" s="118"/>
      <c r="DR7" s="116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</row>
    <row r="8" spans="1:195" ht="19.5" customHeight="1" thickBot="1" x14ac:dyDescent="0.3">
      <c r="B8" s="128"/>
      <c r="C8" s="104">
        <v>28</v>
      </c>
      <c r="D8" s="98"/>
      <c r="E8" s="99"/>
      <c r="F8" s="122"/>
      <c r="G8" s="123"/>
      <c r="H8" s="121"/>
      <c r="I8" s="122"/>
      <c r="J8" s="123"/>
      <c r="K8" s="121"/>
      <c r="L8" s="122"/>
      <c r="M8" s="101"/>
      <c r="N8" s="99"/>
      <c r="O8" s="102"/>
      <c r="P8" s="98"/>
      <c r="Q8" s="121"/>
      <c r="R8" s="122"/>
      <c r="S8" s="123"/>
      <c r="T8" s="121"/>
      <c r="U8" s="122"/>
      <c r="V8" s="123"/>
      <c r="W8" s="121"/>
      <c r="X8" s="100"/>
      <c r="Y8" s="101"/>
      <c r="Z8" s="99"/>
      <c r="AA8" s="102"/>
      <c r="AB8" s="120"/>
      <c r="AC8" s="121"/>
      <c r="AD8" s="122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121"/>
      <c r="AV8" s="122"/>
      <c r="AW8" s="123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22"/>
      <c r="DE8" s="123"/>
      <c r="DF8" s="121"/>
      <c r="DG8" s="102"/>
      <c r="DH8" s="98"/>
      <c r="DI8" s="99"/>
      <c r="DJ8" s="100"/>
      <c r="DK8" s="101"/>
      <c r="DL8" s="99"/>
      <c r="DM8" s="100"/>
      <c r="DN8" s="123"/>
      <c r="DO8" s="121"/>
      <c r="DP8" s="122"/>
      <c r="DQ8" s="123"/>
      <c r="DR8" s="121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</row>
    <row r="9" spans="1:195" ht="19.5" customHeight="1" x14ac:dyDescent="0.25">
      <c r="B9" s="127" t="str">
        <f>Donnees!$C$23</f>
        <v>Menu-Global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</row>
    <row r="10" spans="1:195" ht="19.5" customHeight="1" thickBot="1" x14ac:dyDescent="0.3">
      <c r="B10" s="128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</row>
    <row r="11" spans="1:195" ht="19.5" customHeight="1" x14ac:dyDescent="0.25">
      <c r="B11" s="127" t="str">
        <f>Donnees!$C$24</f>
        <v>Menu-Options</v>
      </c>
      <c r="C11" s="103">
        <v>7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116"/>
      <c r="X11" s="117"/>
      <c r="Y11" s="118"/>
      <c r="Z11" s="116"/>
      <c r="AA11" s="97"/>
      <c r="AB11" s="93"/>
      <c r="AC11" s="94"/>
      <c r="AD11" s="95"/>
      <c r="AE11" s="118"/>
      <c r="AF11" s="116"/>
      <c r="AG11" s="117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</row>
    <row r="12" spans="1:195" ht="19.5" customHeight="1" thickBot="1" x14ac:dyDescent="0.3">
      <c r="B12" s="128"/>
      <c r="C12" s="104">
        <v>6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22"/>
      <c r="Y12" s="123"/>
      <c r="Z12" s="121"/>
      <c r="AA12" s="102"/>
      <c r="AB12" s="98"/>
      <c r="AC12" s="99"/>
      <c r="AD12" s="100"/>
      <c r="AE12" s="123"/>
      <c r="AF12" s="121"/>
      <c r="AG12" s="122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</row>
    <row r="13" spans="1:195" ht="19.5" customHeight="1" x14ac:dyDescent="0.25">
      <c r="B13" s="127" t="str">
        <f>Donnees!$C$25</f>
        <v>Menu-Highscores</v>
      </c>
      <c r="C13" s="103">
        <v>6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115"/>
      <c r="DU13" s="116"/>
      <c r="DV13" s="117"/>
      <c r="DW13" s="118"/>
      <c r="DX13" s="116"/>
      <c r="DY13" s="117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</row>
    <row r="14" spans="1:195" ht="19.5" customHeight="1" thickBot="1" x14ac:dyDescent="0.3">
      <c r="B14" s="128"/>
      <c r="C14" s="104">
        <v>8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120"/>
      <c r="DU14" s="121"/>
      <c r="DV14" s="122"/>
      <c r="DW14" s="123"/>
      <c r="DX14" s="121"/>
      <c r="DY14" s="122"/>
      <c r="DZ14" s="123"/>
      <c r="EA14" s="121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99"/>
      <c r="FL14" s="100"/>
      <c r="FM14" s="101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99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</row>
    <row r="15" spans="1:195" ht="19.5" customHeight="1" x14ac:dyDescent="0.25">
      <c r="B15" s="127" t="str">
        <f>Donnees!$C$26</f>
        <v>Vaisseau-Mouvements</v>
      </c>
      <c r="C15" s="103">
        <v>12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116"/>
      <c r="AJ15" s="117"/>
      <c r="AK15" s="118"/>
      <c r="AL15" s="116"/>
      <c r="AM15" s="97"/>
      <c r="AN15" s="93"/>
      <c r="AO15" s="94"/>
      <c r="AP15" s="95"/>
      <c r="AQ15" s="96"/>
      <c r="AR15" s="116"/>
      <c r="AS15" s="117"/>
      <c r="AT15" s="118"/>
      <c r="AU15" s="94"/>
      <c r="AV15" s="95"/>
      <c r="AW15" s="96"/>
      <c r="AX15" s="94"/>
      <c r="AY15" s="97"/>
      <c r="AZ15" s="115"/>
      <c r="BA15" s="116"/>
      <c r="BB15" s="117"/>
      <c r="BC15" s="118"/>
      <c r="BD15" s="116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</row>
    <row r="16" spans="1:195" ht="19.5" customHeight="1" thickBot="1" x14ac:dyDescent="0.3">
      <c r="A16" s="105"/>
      <c r="B16" s="128"/>
      <c r="C16" s="104">
        <v>12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121"/>
      <c r="AJ16" s="122"/>
      <c r="AK16" s="123"/>
      <c r="AL16" s="121"/>
      <c r="AM16" s="102"/>
      <c r="AN16" s="98"/>
      <c r="AO16" s="99"/>
      <c r="AP16" s="100"/>
      <c r="AQ16" s="101"/>
      <c r="AR16" s="121"/>
      <c r="AS16" s="122"/>
      <c r="AT16" s="123"/>
      <c r="AU16" s="99"/>
      <c r="AV16" s="100"/>
      <c r="AW16" s="101"/>
      <c r="AX16" s="99"/>
      <c r="AY16" s="102"/>
      <c r="AZ16" s="120"/>
      <c r="BA16" s="121"/>
      <c r="BB16" s="122"/>
      <c r="BC16" s="123"/>
      <c r="BD16" s="121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</row>
    <row r="17" spans="2:195" ht="19.5" customHeight="1" x14ac:dyDescent="0.25">
      <c r="B17" s="127" t="str">
        <f>Donnees!$C$27</f>
        <v>Vaisseau-Design</v>
      </c>
      <c r="C17" s="103">
        <v>5</v>
      </c>
      <c r="D17" s="93"/>
      <c r="E17" s="94"/>
      <c r="F17" s="95"/>
      <c r="G17" s="96"/>
      <c r="H17" s="94"/>
      <c r="I17" s="95"/>
      <c r="J17" s="96"/>
      <c r="K17" s="94"/>
      <c r="L17" s="95"/>
      <c r="M17" s="118"/>
      <c r="N17" s="116"/>
      <c r="O17" s="119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118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117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</row>
    <row r="18" spans="2:195" ht="19.5" customHeight="1" thickBot="1" x14ac:dyDescent="0.3">
      <c r="B18" s="128"/>
      <c r="C18" s="104">
        <v>5</v>
      </c>
      <c r="D18" s="98"/>
      <c r="E18" s="99"/>
      <c r="F18" s="100"/>
      <c r="G18" s="101"/>
      <c r="H18" s="99"/>
      <c r="I18" s="100"/>
      <c r="J18" s="101"/>
      <c r="K18" s="99"/>
      <c r="L18" s="100"/>
      <c r="M18" s="123"/>
      <c r="N18" s="121"/>
      <c r="O18" s="124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23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22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</row>
    <row r="19" spans="2:195" ht="19.5" customHeight="1" x14ac:dyDescent="0.25">
      <c r="B19" s="127" t="str">
        <f>Donnees!$C$28</f>
        <v>Vaisseau-Vies</v>
      </c>
      <c r="C19" s="103">
        <v>8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115"/>
      <c r="CW19" s="116"/>
      <c r="CX19" s="117"/>
      <c r="CY19" s="118"/>
      <c r="CZ19" s="116"/>
      <c r="DA19" s="117"/>
      <c r="DB19" s="118"/>
      <c r="DC19" s="116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</row>
    <row r="20" spans="2:195" ht="19.5" customHeight="1" thickBot="1" x14ac:dyDescent="0.3">
      <c r="B20" s="128"/>
      <c r="C20" s="104">
        <v>8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120"/>
      <c r="CW20" s="121"/>
      <c r="CX20" s="122"/>
      <c r="CY20" s="123"/>
      <c r="CZ20" s="121"/>
      <c r="DA20" s="122"/>
      <c r="DB20" s="123"/>
      <c r="DC20" s="121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</row>
    <row r="21" spans="2:195" ht="19.5" customHeight="1" x14ac:dyDescent="0.25">
      <c r="B21" s="127" t="str">
        <f>Donnees!$C$29</f>
        <v>Vaisseau-Tir</v>
      </c>
      <c r="C21" s="103">
        <v>13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115"/>
      <c r="AO21" s="116"/>
      <c r="AP21" s="117"/>
      <c r="AQ21" s="118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118"/>
      <c r="BG21" s="116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115"/>
      <c r="BY21" s="116"/>
      <c r="BZ21" s="117"/>
      <c r="CA21" s="118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115"/>
      <c r="DI21" s="116"/>
      <c r="DJ21" s="117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</row>
    <row r="22" spans="2:195" ht="19.5" customHeight="1" thickBot="1" x14ac:dyDescent="0.3">
      <c r="B22" s="128"/>
      <c r="C22" s="104">
        <v>13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120"/>
      <c r="AO22" s="121"/>
      <c r="AP22" s="122"/>
      <c r="AQ22" s="123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23"/>
      <c r="BG22" s="121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120"/>
      <c r="BY22" s="121"/>
      <c r="BZ22" s="122"/>
      <c r="CA22" s="123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120"/>
      <c r="DI22" s="121"/>
      <c r="DJ22" s="122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</row>
    <row r="23" spans="2:195" ht="19.5" customHeight="1" x14ac:dyDescent="0.25">
      <c r="B23" s="127" t="str">
        <f>Donnees!$C$30</f>
        <v>Ennemi-Mouvement</v>
      </c>
      <c r="C23" s="103">
        <v>17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116"/>
      <c r="AY23" s="97"/>
      <c r="AZ23" s="93"/>
      <c r="BA23" s="94"/>
      <c r="BB23" s="95"/>
      <c r="BC23" s="96"/>
      <c r="BD23" s="94"/>
      <c r="BE23" s="95"/>
      <c r="BF23" s="96"/>
      <c r="BG23" s="94"/>
      <c r="BH23" s="117"/>
      <c r="BI23" s="118"/>
      <c r="BJ23" s="116"/>
      <c r="BK23" s="97"/>
      <c r="BL23" s="115"/>
      <c r="BM23" s="116"/>
      <c r="BN23" s="117"/>
      <c r="BO23" s="118"/>
      <c r="BP23" s="116"/>
      <c r="BQ23" s="117"/>
      <c r="BR23" s="118"/>
      <c r="BS23" s="116"/>
      <c r="BT23" s="117"/>
      <c r="BU23" s="118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117"/>
      <c r="CS23" s="118"/>
      <c r="CT23" s="116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</row>
    <row r="24" spans="2:195" ht="19.5" customHeight="1" thickBot="1" x14ac:dyDescent="0.3">
      <c r="B24" s="128"/>
      <c r="C24" s="104">
        <v>17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121"/>
      <c r="AY24" s="102"/>
      <c r="AZ24" s="98"/>
      <c r="BA24" s="99"/>
      <c r="BB24" s="100"/>
      <c r="BC24" s="101"/>
      <c r="BD24" s="99"/>
      <c r="BE24" s="100"/>
      <c r="BF24" s="101"/>
      <c r="BG24" s="99"/>
      <c r="BH24" s="122"/>
      <c r="BI24" s="123"/>
      <c r="BJ24" s="121"/>
      <c r="BK24" s="102"/>
      <c r="BL24" s="120"/>
      <c r="BM24" s="121"/>
      <c r="BN24" s="122"/>
      <c r="BO24" s="123"/>
      <c r="BP24" s="121"/>
      <c r="BQ24" s="122"/>
      <c r="BR24" s="123"/>
      <c r="BS24" s="121"/>
      <c r="BT24" s="122"/>
      <c r="BU24" s="123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22"/>
      <c r="CS24" s="123"/>
      <c r="CT24" s="121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</row>
    <row r="25" spans="2:195" ht="19.5" customHeight="1" x14ac:dyDescent="0.25">
      <c r="B25" s="127" t="str">
        <f>Donnees!$C$31</f>
        <v>Ennemi-Tir</v>
      </c>
      <c r="C25" s="103">
        <v>11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115"/>
      <c r="CK25" s="116"/>
      <c r="CL25" s="117"/>
      <c r="CM25" s="118"/>
      <c r="CN25" s="116"/>
      <c r="CO25" s="117"/>
      <c r="CP25" s="118"/>
      <c r="CQ25" s="116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118"/>
      <c r="DL25" s="116"/>
      <c r="DM25" s="117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</row>
    <row r="26" spans="2:195" ht="19.5" customHeight="1" thickBot="1" x14ac:dyDescent="0.3">
      <c r="B26" s="128"/>
      <c r="C26" s="104">
        <v>11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98"/>
      <c r="BA26" s="99"/>
      <c r="BB26" s="100"/>
      <c r="BC26" s="101"/>
      <c r="BD26" s="99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120"/>
      <c r="CK26" s="121"/>
      <c r="CL26" s="122"/>
      <c r="CM26" s="123"/>
      <c r="CN26" s="121"/>
      <c r="CO26" s="122"/>
      <c r="CP26" s="123"/>
      <c r="CQ26" s="121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23"/>
      <c r="DL26" s="121"/>
      <c r="DM26" s="122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</row>
    <row r="27" spans="2:195" ht="19.5" customHeight="1" x14ac:dyDescent="0.25">
      <c r="B27" s="127" t="str">
        <f>Donnees!$C$32</f>
        <v>Ennemi-Destruction</v>
      </c>
      <c r="C27" s="103">
        <v>5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7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116"/>
      <c r="BW27" s="97"/>
      <c r="BX27" s="93"/>
      <c r="BY27" s="94"/>
      <c r="BZ27" s="95"/>
      <c r="CA27" s="96"/>
      <c r="CB27" s="94"/>
      <c r="CC27" s="95"/>
      <c r="CD27" s="96"/>
      <c r="CE27" s="116"/>
      <c r="CF27" s="117"/>
      <c r="CG27" s="118"/>
      <c r="CH27" s="116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</row>
    <row r="28" spans="2:195" ht="19.5" customHeight="1" thickBot="1" x14ac:dyDescent="0.3">
      <c r="B28" s="128"/>
      <c r="C28" s="104">
        <v>5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00"/>
      <c r="BF28" s="101"/>
      <c r="BG28" s="99"/>
      <c r="BH28" s="100"/>
      <c r="BI28" s="101"/>
      <c r="BJ28" s="99"/>
      <c r="BK28" s="102"/>
      <c r="BL28" s="98"/>
      <c r="BM28" s="99"/>
      <c r="BN28" s="100"/>
      <c r="BO28" s="101"/>
      <c r="BP28" s="99"/>
      <c r="BQ28" s="100"/>
      <c r="BR28" s="101"/>
      <c r="BS28" s="99"/>
      <c r="BT28" s="100"/>
      <c r="BU28" s="101"/>
      <c r="BV28" s="121"/>
      <c r="BW28" s="102"/>
      <c r="BX28" s="98"/>
      <c r="BY28" s="99"/>
      <c r="BZ28" s="100"/>
      <c r="CA28" s="101"/>
      <c r="CB28" s="99"/>
      <c r="CC28" s="100"/>
      <c r="CD28" s="101"/>
      <c r="CE28" s="121"/>
      <c r="CF28" s="122"/>
      <c r="CG28" s="123"/>
      <c r="CH28" s="121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</row>
    <row r="29" spans="2:195" ht="19.5" customHeight="1" x14ac:dyDescent="0.25">
      <c r="B29" s="127" t="str">
        <f>Donnees!$C$33</f>
        <v>Ennemi-Mouvement-Essaim</v>
      </c>
      <c r="C29" s="103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7"/>
      <c r="AZ29" s="93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</row>
    <row r="30" spans="2:195" ht="19.5" customHeight="1" thickBot="1" x14ac:dyDescent="0.3">
      <c r="B30" s="128"/>
      <c r="C30" s="104">
        <v>0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01"/>
      <c r="BJ30" s="99"/>
      <c r="BK30" s="102"/>
      <c r="BL30" s="98"/>
      <c r="BM30" s="99"/>
      <c r="BN30" s="100"/>
      <c r="BO30" s="101"/>
      <c r="BP30" s="99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98"/>
      <c r="CK30" s="99"/>
      <c r="CL30" s="100"/>
      <c r="CM30" s="101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</row>
    <row r="31" spans="2:195" ht="19.5" customHeight="1" x14ac:dyDescent="0.25">
      <c r="B31" s="127" t="str">
        <f>Donnees!$C$34</f>
        <v>Score</v>
      </c>
      <c r="C31" s="103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93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7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</row>
    <row r="32" spans="2:195" ht="19.5" customHeight="1" thickBot="1" x14ac:dyDescent="0.3">
      <c r="B32" s="128"/>
      <c r="C32" s="104">
        <v>0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01"/>
      <c r="CZ32" s="99"/>
      <c r="DA32" s="100"/>
      <c r="DB32" s="101"/>
      <c r="DC32" s="99"/>
      <c r="DD32" s="100"/>
      <c r="DE32" s="101"/>
      <c r="DF32" s="99"/>
      <c r="DG32" s="102"/>
      <c r="DH32" s="98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</row>
    <row r="33" spans="2:195" ht="19.5" customHeight="1" x14ac:dyDescent="0.25">
      <c r="B33" s="127" t="str">
        <f>Donnees!$C$35</f>
        <v>Menu-Tests</v>
      </c>
      <c r="C33" s="103">
        <v>3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7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117"/>
      <c r="EO33" s="118"/>
      <c r="EP33" s="116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</row>
    <row r="34" spans="2:195" ht="19.5" customHeight="1" thickBot="1" x14ac:dyDescent="0.3">
      <c r="B34" s="128"/>
      <c r="C34" s="104">
        <v>3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01"/>
      <c r="Z34" s="99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22"/>
      <c r="EO34" s="123"/>
      <c r="EP34" s="121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</row>
    <row r="35" spans="2:195" ht="19.5" customHeight="1" x14ac:dyDescent="0.25">
      <c r="B35" s="127" t="str">
        <f>Donnees!$C$36</f>
        <v>Vaisseau-Tests</v>
      </c>
      <c r="C35" s="103">
        <v>2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93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118"/>
      <c r="EM35" s="116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</row>
    <row r="36" spans="2:195" ht="19.5" customHeight="1" thickBot="1" x14ac:dyDescent="0.3">
      <c r="B36" s="128"/>
      <c r="C36" s="104">
        <v>2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01"/>
      <c r="CQ36" s="99"/>
      <c r="CR36" s="100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23"/>
      <c r="EM36" s="121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</row>
    <row r="37" spans="2:195" ht="19.5" customHeight="1" x14ac:dyDescent="0.25">
      <c r="B37" s="127" t="str">
        <f>Donnees!$C$37</f>
        <v>Ennemi-Tests</v>
      </c>
      <c r="C37" s="103">
        <v>6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7"/>
      <c r="EF37" s="115"/>
      <c r="EG37" s="116"/>
      <c r="EH37" s="117"/>
      <c r="EI37" s="118"/>
      <c r="EJ37" s="116"/>
      <c r="EK37" s="117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</row>
    <row r="38" spans="2:195" ht="19.5" customHeight="1" thickBot="1" x14ac:dyDescent="0.3">
      <c r="B38" s="128"/>
      <c r="C38" s="104">
        <v>6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01"/>
      <c r="CT38" s="99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120"/>
      <c r="EG38" s="121"/>
      <c r="EH38" s="122"/>
      <c r="EI38" s="123"/>
      <c r="EJ38" s="121"/>
      <c r="EK38" s="122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</row>
    <row r="39" spans="2:195" ht="19.5" customHeight="1" x14ac:dyDescent="0.25">
      <c r="B39" s="127" t="str">
        <f>Donnees!$C$38</f>
        <v>Ennemi-spécial(ovni)</v>
      </c>
      <c r="C39" s="103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93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</row>
    <row r="40" spans="2:195" ht="19.5" customHeight="1" thickBot="1" x14ac:dyDescent="0.3">
      <c r="B40" s="128"/>
      <c r="C40" s="104">
        <v>0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</row>
    <row r="41" spans="2:195" ht="19.5" customHeight="1" x14ac:dyDescent="0.25">
      <c r="B41" s="127" t="str">
        <f>Donnees!$C$39</f>
        <v>Installateur</v>
      </c>
      <c r="C41" s="103">
        <v>0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7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94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</row>
    <row r="42" spans="2:195" ht="19.5" customHeight="1" thickBot="1" x14ac:dyDescent="0.3">
      <c r="B42" s="128"/>
      <c r="C42" s="104">
        <v>0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99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98"/>
      <c r="GC42" s="99"/>
      <c r="GD42" s="100"/>
      <c r="GE42" s="101"/>
      <c r="GF42" s="99"/>
      <c r="GG42" s="100"/>
      <c r="GH42" s="101"/>
      <c r="GI42" s="99"/>
      <c r="GJ42" s="100"/>
      <c r="GK42" s="101"/>
      <c r="GL42" s="99"/>
      <c r="GM42" s="102"/>
    </row>
    <row r="43" spans="2:195" ht="19.5" customHeight="1" x14ac:dyDescent="0.25">
      <c r="B43" s="127" t="str">
        <f>Donnees!$C$40</f>
        <v>Béta tests</v>
      </c>
      <c r="C43" s="103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93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7"/>
    </row>
    <row r="44" spans="2:195" ht="19.5" customHeight="1" thickBot="1" x14ac:dyDescent="0.3">
      <c r="B44" s="128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</row>
    <row r="45" spans="2:195" ht="19.5" customHeight="1" x14ac:dyDescent="0.25">
      <c r="B45" s="127" t="str">
        <f>Donnees!$C$41</f>
        <v>Documentation-UML</v>
      </c>
      <c r="C45" s="103">
        <v>5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118"/>
      <c r="EA45" s="116"/>
      <c r="EB45" s="117"/>
      <c r="EC45" s="118"/>
      <c r="ED45" s="116"/>
      <c r="EE45" s="97"/>
      <c r="EF45" s="93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7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93"/>
      <c r="FE45" s="94"/>
      <c r="FF45" s="95"/>
      <c r="FG45" s="96"/>
      <c r="FH45" s="94"/>
      <c r="FI45" s="95"/>
      <c r="FJ45" s="96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</row>
    <row r="46" spans="2:195" ht="19.5" customHeight="1" thickBot="1" x14ac:dyDescent="0.3">
      <c r="B46" s="128"/>
      <c r="C46" s="104">
        <v>3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22"/>
      <c r="EC46" s="123"/>
      <c r="ED46" s="121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98"/>
      <c r="FE46" s="99"/>
      <c r="FF46" s="100"/>
      <c r="FG46" s="101"/>
      <c r="FH46" s="99"/>
      <c r="FI46" s="100"/>
      <c r="FJ46" s="101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</row>
    <row r="47" spans="2:195" ht="19.5" customHeight="1" x14ac:dyDescent="0.25">
      <c r="B47" s="127" t="str">
        <f>Donnees!$C$42</f>
        <v>Documentation-Tests</v>
      </c>
      <c r="C47" s="103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93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</row>
    <row r="48" spans="2:195" ht="19.5" customHeight="1" thickBot="1" x14ac:dyDescent="0.3">
      <c r="B48" s="128"/>
      <c r="C48" s="104">
        <v>0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99"/>
      <c r="DJ48" s="100"/>
      <c r="DK48" s="101"/>
      <c r="DL48" s="99"/>
      <c r="DM48" s="100"/>
      <c r="DN48" s="101"/>
      <c r="DO48" s="99"/>
      <c r="DP48" s="100"/>
      <c r="DQ48" s="101"/>
      <c r="DR48" s="99"/>
      <c r="DS48" s="102"/>
      <c r="DT48" s="98"/>
      <c r="DU48" s="99"/>
      <c r="DV48" s="100"/>
      <c r="DW48" s="101"/>
      <c r="DX48" s="99"/>
      <c r="DY48" s="100"/>
      <c r="DZ48" s="101"/>
      <c r="EA48" s="99"/>
      <c r="EB48" s="100"/>
      <c r="EC48" s="101"/>
      <c r="ED48" s="99"/>
      <c r="EE48" s="102"/>
      <c r="EF48" s="98"/>
      <c r="EG48" s="99"/>
      <c r="EH48" s="100"/>
      <c r="EI48" s="101"/>
      <c r="EJ48" s="99"/>
      <c r="EK48" s="100"/>
      <c r="EL48" s="101"/>
      <c r="EM48" s="99"/>
      <c r="EN48" s="100"/>
      <c r="EO48" s="101"/>
      <c r="EP48" s="99"/>
      <c r="EQ48" s="102"/>
      <c r="ER48" s="98"/>
      <c r="ES48" s="99"/>
      <c r="ET48" s="100"/>
      <c r="EU48" s="101"/>
      <c r="EV48" s="99"/>
      <c r="EW48" s="100"/>
      <c r="EX48" s="101"/>
      <c r="EY48" s="99"/>
      <c r="EZ48" s="100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99"/>
      <c r="GJ48" s="100"/>
      <c r="GK48" s="101"/>
      <c r="GL48" s="99"/>
      <c r="GM48" s="102"/>
    </row>
    <row r="49" spans="2:195" ht="19.5" customHeight="1" x14ac:dyDescent="0.25">
      <c r="B49" s="127" t="str">
        <f>Donnees!$C$43</f>
        <v>Documentation-Code</v>
      </c>
      <c r="C49" s="103">
        <v>0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94"/>
      <c r="FX49" s="95"/>
      <c r="FY49" s="96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</row>
    <row r="50" spans="2:195" ht="19.5" customHeight="1" thickBot="1" x14ac:dyDescent="0.3">
      <c r="B50" s="128"/>
      <c r="C50" s="104">
        <v>0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99"/>
      <c r="FX50" s="100"/>
      <c r="FY50" s="101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</row>
    <row r="51" spans="2:195" ht="19.5" customHeight="1" x14ac:dyDescent="0.25">
      <c r="B51" s="127" t="str">
        <f>Donnees!$C$44</f>
        <v>Documentation-ModeEmploi</v>
      </c>
      <c r="C51" s="103">
        <v>0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93"/>
      <c r="FQ51" s="94"/>
      <c r="FR51" s="95"/>
      <c r="FS51" s="96"/>
      <c r="FT51" s="94"/>
      <c r="FU51" s="95"/>
      <c r="FV51" s="96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</row>
    <row r="52" spans="2:195" ht="19.5" customHeight="1" x14ac:dyDescent="0.25">
      <c r="B52" s="128"/>
      <c r="C52" s="104">
        <v>0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01"/>
      <c r="FB52" s="99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98"/>
      <c r="FQ52" s="99"/>
      <c r="FR52" s="100"/>
      <c r="FS52" s="101"/>
      <c r="FT52" s="99"/>
      <c r="FU52" s="100"/>
      <c r="FV52" s="101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00"/>
      <c r="GH52" s="101"/>
      <c r="GI52" s="99"/>
      <c r="GJ52" s="100"/>
      <c r="GK52" s="101"/>
      <c r="GL52" s="99"/>
      <c r="GM52" s="102"/>
    </row>
    <row r="53" spans="2:195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156</v>
      </c>
      <c r="D53" s="106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6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8"/>
      <c r="AB53" s="106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8"/>
      <c r="AN53" s="106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8"/>
      <c r="AZ53" s="106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8"/>
      <c r="BL53" s="106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8"/>
      <c r="BX53" s="106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8"/>
      <c r="CJ53" s="106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8"/>
      <c r="CV53" s="106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8"/>
      <c r="DH53" s="106"/>
      <c r="DI53" s="107"/>
      <c r="DJ53" s="107"/>
      <c r="DK53" s="107"/>
      <c r="DL53" s="107"/>
      <c r="DM53" s="107"/>
      <c r="DN53" s="107"/>
      <c r="DO53" s="107"/>
      <c r="DP53" s="107"/>
      <c r="DQ53" s="107"/>
      <c r="DR53" s="107"/>
      <c r="DS53" s="108"/>
      <c r="DT53" s="106"/>
      <c r="DU53" s="107"/>
      <c r="DV53" s="107"/>
      <c r="DW53" s="107"/>
      <c r="DX53" s="107"/>
      <c r="DY53" s="107"/>
      <c r="DZ53" s="107"/>
      <c r="EA53" s="107"/>
      <c r="EB53" s="107"/>
      <c r="EC53" s="107"/>
      <c r="ED53" s="107"/>
      <c r="EE53" s="108"/>
      <c r="EF53" s="106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8"/>
      <c r="ER53" s="106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8"/>
      <c r="FD53" s="106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8"/>
      <c r="FP53" s="106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8"/>
      <c r="GB53" s="106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8"/>
    </row>
    <row r="54" spans="2:195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156</v>
      </c>
      <c r="D54" s="109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1"/>
      <c r="P54" s="109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1"/>
      <c r="AB54" s="109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1"/>
      <c r="AN54" s="109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1"/>
      <c r="AZ54" s="109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1"/>
      <c r="BL54" s="109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1"/>
      <c r="BX54" s="109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1"/>
      <c r="CJ54" s="109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1"/>
      <c r="CV54" s="109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1"/>
      <c r="DH54" s="109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1"/>
      <c r="DT54" s="109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1"/>
      <c r="EF54" s="109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1"/>
      <c r="ER54" s="109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1"/>
      <c r="FD54" s="109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1"/>
      <c r="FP54" s="109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1"/>
      <c r="GB54" s="109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1"/>
    </row>
  </sheetData>
  <sheetProtection sheet="1" objects="1" scenarios="1" insertRows="0" selectLockedCells="1"/>
  <mergeCells count="41">
    <mergeCell ref="EF2:EQ2"/>
    <mergeCell ref="ER2:FC2"/>
    <mergeCell ref="FD2:FO2"/>
    <mergeCell ref="FP2:GA2"/>
    <mergeCell ref="GB2:GM2"/>
    <mergeCell ref="BL2:BW2"/>
    <mergeCell ref="BX2:CI2"/>
    <mergeCell ref="CJ2:CU2"/>
    <mergeCell ref="CV2:DG2"/>
    <mergeCell ref="DH2:DS2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9" t="s">
        <v>21</v>
      </c>
      <c r="C3" s="16">
        <v>0</v>
      </c>
    </row>
    <row r="4" spans="1:4" ht="19.5" customHeight="1" x14ac:dyDescent="0.25">
      <c r="A4" s="19"/>
      <c r="B4" s="13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4" s="53" customFormat="1" x14ac:dyDescent="0.25">
      <c r="A4" s="1" t="s">
        <v>27</v>
      </c>
      <c r="B4" s="2">
        <v>7</v>
      </c>
      <c r="C4" s="114" t="s">
        <v>71</v>
      </c>
      <c r="D4" s="10"/>
    </row>
    <row r="5" spans="1:4" s="53" customFormat="1" x14ac:dyDescent="0.25">
      <c r="A5" s="1" t="s">
        <v>32</v>
      </c>
      <c r="B5" s="2">
        <v>3</v>
      </c>
      <c r="C5" s="114" t="s">
        <v>72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26</v>
      </c>
      <c r="B17" s="4">
        <v>1</v>
      </c>
      <c r="C17" s="113" t="s">
        <v>73</v>
      </c>
      <c r="D17" s="9"/>
    </row>
    <row r="18" spans="1:9" x14ac:dyDescent="0.25">
      <c r="A18" s="1" t="s">
        <v>27</v>
      </c>
      <c r="B18" s="2">
        <v>6</v>
      </c>
      <c r="C18" s="114" t="s">
        <v>74</v>
      </c>
      <c r="D18" s="10"/>
    </row>
    <row r="19" spans="1:9" x14ac:dyDescent="0.25">
      <c r="A19" s="1" t="s">
        <v>29</v>
      </c>
      <c r="B19" s="2">
        <v>4</v>
      </c>
      <c r="C19" s="114" t="s">
        <v>75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26</v>
      </c>
      <c r="B20" s="2">
        <v>1</v>
      </c>
      <c r="C20" s="114" t="s">
        <v>76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27</v>
      </c>
      <c r="B31" s="4">
        <v>3</v>
      </c>
      <c r="C31" s="113" t="s">
        <v>79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3</v>
      </c>
      <c r="C32" s="114" t="s">
        <v>80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1</v>
      </c>
      <c r="C33" s="114" t="s">
        <v>81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31</v>
      </c>
      <c r="B34" s="2">
        <v>4</v>
      </c>
      <c r="C34" s="114" t="s">
        <v>82</v>
      </c>
      <c r="D34" s="10"/>
      <c r="E34" s="20"/>
      <c r="F34" s="20"/>
      <c r="G34" s="20"/>
      <c r="H34" s="20"/>
      <c r="I34" s="20"/>
    </row>
    <row r="35" spans="1:9" ht="27" x14ac:dyDescent="0.25">
      <c r="A35" s="1" t="s">
        <v>26</v>
      </c>
      <c r="B35" s="2">
        <v>1</v>
      </c>
      <c r="C35" s="114" t="s">
        <v>83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113" t="s">
        <v>84</v>
      </c>
      <c r="D45" s="9"/>
    </row>
    <row r="46" spans="1:9" ht="27" x14ac:dyDescent="0.25">
      <c r="A46" s="1" t="s">
        <v>31</v>
      </c>
      <c r="B46" s="2">
        <v>3</v>
      </c>
      <c r="C46" s="114" t="s">
        <v>85</v>
      </c>
      <c r="D46" s="10"/>
    </row>
    <row r="47" spans="1:9" x14ac:dyDescent="0.25">
      <c r="A47" s="1" t="s">
        <v>27</v>
      </c>
      <c r="B47" s="2">
        <v>3</v>
      </c>
      <c r="C47" s="114" t="s">
        <v>86</v>
      </c>
      <c r="D47" s="10"/>
    </row>
    <row r="48" spans="1:9" x14ac:dyDescent="0.25">
      <c r="A48" s="1" t="s">
        <v>35</v>
      </c>
      <c r="B48" s="2">
        <v>1</v>
      </c>
      <c r="C48" s="114" t="s">
        <v>87</v>
      </c>
      <c r="D48" s="10"/>
    </row>
    <row r="49" spans="1:4" ht="27" x14ac:dyDescent="0.25">
      <c r="A49" s="1" t="s">
        <v>26</v>
      </c>
      <c r="B49" s="2">
        <v>1</v>
      </c>
      <c r="C49" s="114" t="s">
        <v>88</v>
      </c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31</v>
      </c>
      <c r="B59" s="4">
        <v>5</v>
      </c>
      <c r="C59" s="113" t="s">
        <v>89</v>
      </c>
      <c r="D59" s="9"/>
    </row>
    <row r="60" spans="1:4" x14ac:dyDescent="0.25">
      <c r="A60" s="1" t="s">
        <v>32</v>
      </c>
      <c r="B60" s="2">
        <v>1</v>
      </c>
      <c r="C60" s="114" t="s">
        <v>90</v>
      </c>
      <c r="D60" s="10"/>
    </row>
    <row r="61" spans="1:4" x14ac:dyDescent="0.25">
      <c r="A61" s="1" t="s">
        <v>34</v>
      </c>
      <c r="B61" s="2">
        <v>2</v>
      </c>
      <c r="C61" s="114" t="s">
        <v>91</v>
      </c>
      <c r="D61" s="10"/>
    </row>
    <row r="62" spans="1:4" x14ac:dyDescent="0.25">
      <c r="A62" s="1" t="s">
        <v>35</v>
      </c>
      <c r="B62" s="2">
        <v>3</v>
      </c>
      <c r="C62" s="114" t="s">
        <v>92</v>
      </c>
      <c r="D62" s="10"/>
    </row>
    <row r="63" spans="1:4" ht="27" x14ac:dyDescent="0.25">
      <c r="A63" s="1" t="s">
        <v>26</v>
      </c>
      <c r="B63" s="2">
        <v>1</v>
      </c>
      <c r="C63" s="114" t="s">
        <v>93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35</v>
      </c>
      <c r="B73" s="4">
        <v>10</v>
      </c>
      <c r="C73" s="113" t="s">
        <v>94</v>
      </c>
      <c r="D73" s="9"/>
    </row>
    <row r="74" spans="1:4" x14ac:dyDescent="0.25">
      <c r="A74" s="1" t="s">
        <v>37</v>
      </c>
      <c r="B74" s="2">
        <v>1</v>
      </c>
      <c r="C74" s="114" t="s">
        <v>95</v>
      </c>
      <c r="D74" s="10"/>
    </row>
    <row r="75" spans="1:4" ht="27" x14ac:dyDescent="0.25">
      <c r="A75" s="1" t="s">
        <v>26</v>
      </c>
      <c r="B75" s="2">
        <v>1</v>
      </c>
      <c r="C75" s="114" t="s">
        <v>96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34</v>
      </c>
      <c r="B87" s="4">
        <v>4</v>
      </c>
      <c r="C87" s="113" t="s">
        <v>97</v>
      </c>
      <c r="D87" s="9"/>
    </row>
    <row r="88" spans="1:4" x14ac:dyDescent="0.25">
      <c r="A88" s="1" t="s">
        <v>21</v>
      </c>
      <c r="B88" s="2">
        <v>3</v>
      </c>
      <c r="C88" s="114" t="s">
        <v>98</v>
      </c>
      <c r="D88" s="10"/>
    </row>
    <row r="89" spans="1:4" x14ac:dyDescent="0.25">
      <c r="A89" s="1" t="s">
        <v>37</v>
      </c>
      <c r="B89" s="2">
        <v>4</v>
      </c>
      <c r="C89" s="114" t="s">
        <v>99</v>
      </c>
      <c r="D89" s="10"/>
    </row>
    <row r="90" spans="1:4" ht="27" x14ac:dyDescent="0.25">
      <c r="A90" s="1" t="s">
        <v>26</v>
      </c>
      <c r="B90" s="2">
        <v>1</v>
      </c>
      <c r="C90" s="114" t="s">
        <v>100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36</v>
      </c>
      <c r="B101" s="4">
        <v>8</v>
      </c>
      <c r="C101" s="113" t="s">
        <v>101</v>
      </c>
      <c r="D101" s="9"/>
    </row>
    <row r="102" spans="1:4" x14ac:dyDescent="0.25">
      <c r="A102" s="1" t="s">
        <v>35</v>
      </c>
      <c r="B102" s="2">
        <v>3</v>
      </c>
      <c r="C102" s="114" t="s">
        <v>102</v>
      </c>
      <c r="D102" s="10"/>
    </row>
    <row r="103" spans="1:4" ht="27" x14ac:dyDescent="0.25">
      <c r="A103" s="1" t="s">
        <v>26</v>
      </c>
      <c r="B103" s="2">
        <v>1</v>
      </c>
      <c r="C103" s="114" t="s">
        <v>103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5" t="s">
        <v>33</v>
      </c>
      <c r="B115" s="4">
        <v>8</v>
      </c>
      <c r="C115" s="113" t="s">
        <v>104</v>
      </c>
      <c r="D115" s="9"/>
    </row>
    <row r="116" spans="1:4" x14ac:dyDescent="0.25">
      <c r="A116" s="1" t="s">
        <v>27</v>
      </c>
      <c r="B116" s="2">
        <v>3</v>
      </c>
      <c r="C116" s="114" t="s">
        <v>105</v>
      </c>
      <c r="D116" s="10"/>
    </row>
    <row r="117" spans="1:4" ht="27" x14ac:dyDescent="0.25">
      <c r="A117" s="1" t="s">
        <v>26</v>
      </c>
      <c r="B117" s="2">
        <v>1</v>
      </c>
      <c r="C117" s="114" t="s">
        <v>106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34</v>
      </c>
      <c r="B129" s="4">
        <v>3</v>
      </c>
      <c r="C129" s="113" t="s">
        <v>107</v>
      </c>
      <c r="D129" s="9"/>
    </row>
    <row r="130" spans="1:4" x14ac:dyDescent="0.25">
      <c r="A130" s="1" t="s">
        <v>36</v>
      </c>
      <c r="B130" s="2">
        <v>3</v>
      </c>
      <c r="C130" s="114" t="s">
        <v>108</v>
      </c>
      <c r="D130" s="10"/>
    </row>
    <row r="131" spans="1:4" ht="27" x14ac:dyDescent="0.25">
      <c r="A131" s="1" t="s">
        <v>27</v>
      </c>
      <c r="B131" s="2">
        <v>5</v>
      </c>
      <c r="C131" s="114" t="s">
        <v>109</v>
      </c>
      <c r="D131" s="10"/>
    </row>
    <row r="132" spans="1:4" ht="27" x14ac:dyDescent="0.25">
      <c r="A132" s="1" t="s">
        <v>26</v>
      </c>
      <c r="B132" s="2">
        <v>1</v>
      </c>
      <c r="C132" s="114" t="s">
        <v>110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6</v>
      </c>
      <c r="C143" s="113" t="s">
        <v>111</v>
      </c>
      <c r="D143" s="9"/>
    </row>
    <row r="144" spans="1:4" x14ac:dyDescent="0.25">
      <c r="A144" s="1" t="s">
        <v>46</v>
      </c>
      <c r="B144" s="2">
        <v>5</v>
      </c>
      <c r="C144" s="114" t="s">
        <v>112</v>
      </c>
      <c r="D144" s="10"/>
    </row>
    <row r="145" spans="1:4" ht="27" x14ac:dyDescent="0.25">
      <c r="A145" s="1" t="s">
        <v>26</v>
      </c>
      <c r="B145" s="2">
        <v>1</v>
      </c>
      <c r="C145" s="114" t="s">
        <v>113</v>
      </c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50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42</v>
      </c>
      <c r="B157" s="4">
        <v>1</v>
      </c>
      <c r="C157" s="113" t="s">
        <v>117</v>
      </c>
      <c r="D157" s="9"/>
    </row>
    <row r="158" spans="1:4" x14ac:dyDescent="0.25">
      <c r="A158" s="1" t="s">
        <v>42</v>
      </c>
      <c r="B158" s="2">
        <v>2</v>
      </c>
      <c r="C158" s="114" t="s">
        <v>114</v>
      </c>
      <c r="D158" s="10"/>
    </row>
    <row r="159" spans="1:4" x14ac:dyDescent="0.25">
      <c r="A159" s="1" t="s">
        <v>42</v>
      </c>
      <c r="B159" s="2">
        <v>3</v>
      </c>
      <c r="C159" s="114" t="s">
        <v>115</v>
      </c>
      <c r="D159" s="10"/>
    </row>
    <row r="160" spans="1:4" x14ac:dyDescent="0.25">
      <c r="A160" s="1" t="s">
        <v>41</v>
      </c>
      <c r="B160" s="2">
        <v>1</v>
      </c>
      <c r="C160" s="114" t="s">
        <v>116</v>
      </c>
      <c r="D160" s="10"/>
    </row>
    <row r="161" spans="1:4" x14ac:dyDescent="0.25">
      <c r="A161" s="1" t="s">
        <v>41</v>
      </c>
      <c r="B161" s="2">
        <v>1</v>
      </c>
      <c r="C161" s="114" t="s">
        <v>118</v>
      </c>
      <c r="D161" s="10"/>
    </row>
    <row r="162" spans="1:4" ht="27" x14ac:dyDescent="0.25">
      <c r="A162" s="1" t="s">
        <v>40</v>
      </c>
      <c r="B162" s="2">
        <v>3</v>
      </c>
      <c r="C162" s="114" t="s">
        <v>119</v>
      </c>
      <c r="D162" s="10"/>
    </row>
    <row r="163" spans="1:4" ht="27" x14ac:dyDescent="0.25">
      <c r="A163" s="1" t="s">
        <v>26</v>
      </c>
      <c r="B163" s="2">
        <v>1</v>
      </c>
      <c r="C163" s="114" t="s">
        <v>120</v>
      </c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8" t="s">
        <v>50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21</v>
      </c>
      <c r="B171" s="4">
        <v>12</v>
      </c>
      <c r="C171" s="113" t="s">
        <v>121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50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50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50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50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51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12"/>
  <sheetViews>
    <sheetView workbookViewId="0">
      <selection activeCell="A148" sqref="A148:C14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9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9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9" s="53" customFormat="1" x14ac:dyDescent="0.25">
      <c r="A4" s="1" t="s">
        <v>27</v>
      </c>
      <c r="B4" s="2">
        <v>7</v>
      </c>
      <c r="C4" s="10" t="s">
        <v>71</v>
      </c>
      <c r="D4" s="10"/>
    </row>
    <row r="5" spans="1:9" s="53" customFormat="1" x14ac:dyDescent="0.25">
      <c r="A5" s="1" t="s">
        <v>32</v>
      </c>
      <c r="B5" s="2">
        <v>3</v>
      </c>
      <c r="C5" s="114" t="s">
        <v>72</v>
      </c>
      <c r="D5" s="10"/>
    </row>
    <row r="6" spans="1:9" s="53" customFormat="1" x14ac:dyDescent="0.25">
      <c r="A6" s="1"/>
      <c r="B6" s="2"/>
      <c r="C6" s="10"/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22</v>
      </c>
      <c r="B10" s="48">
        <f>SUM(B3:B9)</f>
        <v>12</v>
      </c>
      <c r="C10" s="112" t="s">
        <v>50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14</v>
      </c>
      <c r="B12" s="44">
        <v>2</v>
      </c>
      <c r="C12" s="45" t="s">
        <v>23</v>
      </c>
      <c r="D12" s="54">
        <f>$D$1+7</f>
        <v>44442</v>
      </c>
    </row>
    <row r="13" spans="1:9" ht="27.75" thickBot="1" x14ac:dyDescent="0.3">
      <c r="A13" s="46" t="s">
        <v>3</v>
      </c>
      <c r="B13" s="47" t="s">
        <v>15</v>
      </c>
      <c r="C13" s="46" t="s">
        <v>7</v>
      </c>
      <c r="D13" s="46" t="s">
        <v>13</v>
      </c>
    </row>
    <row r="14" spans="1:9" ht="27" x14ac:dyDescent="0.25">
      <c r="A14" s="5" t="s">
        <v>26</v>
      </c>
      <c r="B14" s="4">
        <v>1</v>
      </c>
      <c r="C14" s="113" t="s">
        <v>73</v>
      </c>
      <c r="D14" s="9"/>
    </row>
    <row r="15" spans="1:9" x14ac:dyDescent="0.25">
      <c r="A15" s="1" t="s">
        <v>27</v>
      </c>
      <c r="B15" s="2">
        <v>7</v>
      </c>
      <c r="C15" s="114" t="s">
        <v>77</v>
      </c>
      <c r="D15" s="10"/>
    </row>
    <row r="16" spans="1:9" x14ac:dyDescent="0.25">
      <c r="A16" s="1" t="s">
        <v>29</v>
      </c>
      <c r="B16" s="2">
        <v>3</v>
      </c>
      <c r="C16" s="114" t="s">
        <v>78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 t="s">
        <v>26</v>
      </c>
      <c r="B17" s="2">
        <v>1</v>
      </c>
      <c r="C17" s="114" t="s">
        <v>76</v>
      </c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 x14ac:dyDescent="0.3">
      <c r="A21" s="1"/>
      <c r="B21" s="2"/>
      <c r="C21" s="10"/>
      <c r="D21" s="10"/>
      <c r="E21" s="20"/>
      <c r="F21" s="37"/>
      <c r="G21" s="38"/>
      <c r="H21" s="38"/>
      <c r="I21" s="20"/>
    </row>
    <row r="22" spans="1:9" ht="14.25" thickBot="1" x14ac:dyDescent="0.3">
      <c r="A22" s="48" t="s">
        <v>22</v>
      </c>
      <c r="B22" s="48">
        <f>SUM(B14:B21)</f>
        <v>12</v>
      </c>
      <c r="C22" s="112" t="s">
        <v>50</v>
      </c>
      <c r="D22" s="49"/>
      <c r="E22" s="20"/>
      <c r="F22" s="20"/>
      <c r="G22" s="20"/>
      <c r="H22" s="20"/>
      <c r="I22" s="20"/>
    </row>
    <row r="23" spans="1:9" ht="15" thickBot="1" x14ac:dyDescent="0.35">
      <c r="A23" s="50"/>
      <c r="B23" s="50"/>
      <c r="C23" s="50"/>
      <c r="D23" s="50"/>
      <c r="E23" s="20"/>
      <c r="F23" s="20"/>
      <c r="G23" s="20"/>
      <c r="H23" s="20"/>
      <c r="I23" s="20"/>
    </row>
    <row r="24" spans="1:9" ht="18.75" thickBot="1" x14ac:dyDescent="0.3">
      <c r="A24" s="43" t="s">
        <v>14</v>
      </c>
      <c r="B24" s="44">
        <v>3</v>
      </c>
      <c r="C24" s="45" t="s">
        <v>23</v>
      </c>
      <c r="D24" s="54">
        <f>$D$12+7</f>
        <v>44449</v>
      </c>
      <c r="E24" s="20"/>
      <c r="F24" s="20"/>
      <c r="G24" s="20"/>
      <c r="H24" s="20"/>
      <c r="I24" s="20"/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x14ac:dyDescent="0.25">
      <c r="A26" s="5" t="s">
        <v>27</v>
      </c>
      <c r="B26" s="4">
        <v>3</v>
      </c>
      <c r="C26" s="113" t="s">
        <v>79</v>
      </c>
      <c r="D26" s="9"/>
    </row>
    <row r="27" spans="1:9" x14ac:dyDescent="0.25">
      <c r="A27" s="1" t="s">
        <v>29</v>
      </c>
      <c r="B27" s="2">
        <v>3</v>
      </c>
      <c r="C27" s="114" t="s">
        <v>80</v>
      </c>
      <c r="D27" s="10"/>
    </row>
    <row r="28" spans="1:9" x14ac:dyDescent="0.25">
      <c r="A28" s="1" t="s">
        <v>32</v>
      </c>
      <c r="B28" s="2">
        <v>1</v>
      </c>
      <c r="C28" s="114" t="s">
        <v>81</v>
      </c>
      <c r="D28" s="10"/>
    </row>
    <row r="29" spans="1:9" ht="27" x14ac:dyDescent="0.25">
      <c r="A29" s="1" t="s">
        <v>31</v>
      </c>
      <c r="B29" s="2">
        <v>4</v>
      </c>
      <c r="C29" s="114" t="s">
        <v>82</v>
      </c>
      <c r="D29" s="10"/>
    </row>
    <row r="30" spans="1:9" ht="27" x14ac:dyDescent="0.25">
      <c r="A30" s="1" t="s">
        <v>26</v>
      </c>
      <c r="B30" s="2">
        <v>1</v>
      </c>
      <c r="C30" s="114" t="s">
        <v>83</v>
      </c>
      <c r="D30" s="10"/>
    </row>
    <row r="31" spans="1:9" x14ac:dyDescent="0.25">
      <c r="A31" s="1"/>
      <c r="B31" s="2"/>
      <c r="C31" s="10"/>
      <c r="D31" s="10"/>
    </row>
    <row r="32" spans="1:9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ht="14.25" thickBot="1" x14ac:dyDescent="0.3">
      <c r="A34" s="1"/>
      <c r="B34" s="2"/>
      <c r="C34" s="10"/>
      <c r="D34" s="10"/>
    </row>
    <row r="35" spans="1:4" ht="14.25" thickBot="1" x14ac:dyDescent="0.3">
      <c r="A35" s="48" t="s">
        <v>22</v>
      </c>
      <c r="B35" s="48">
        <f>SUM(B26:B34)</f>
        <v>12</v>
      </c>
      <c r="C35" s="112" t="s">
        <v>50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14</v>
      </c>
      <c r="B37" s="44">
        <v>4</v>
      </c>
      <c r="C37" s="45" t="s">
        <v>23</v>
      </c>
      <c r="D37" s="54">
        <f>$D$24+7</f>
        <v>44456</v>
      </c>
    </row>
    <row r="38" spans="1:4" ht="27.75" thickBot="1" x14ac:dyDescent="0.3">
      <c r="A38" s="46" t="s">
        <v>3</v>
      </c>
      <c r="B38" s="47" t="s">
        <v>15</v>
      </c>
      <c r="C38" s="46" t="s">
        <v>7</v>
      </c>
      <c r="D38" s="46" t="s">
        <v>13</v>
      </c>
    </row>
    <row r="39" spans="1:4" x14ac:dyDescent="0.25">
      <c r="A39" s="5" t="s">
        <v>34</v>
      </c>
      <c r="B39" s="4">
        <v>4</v>
      </c>
      <c r="C39" s="113" t="s">
        <v>84</v>
      </c>
      <c r="D39" s="9"/>
    </row>
    <row r="40" spans="1:4" ht="27" x14ac:dyDescent="0.25">
      <c r="A40" s="1" t="s">
        <v>31</v>
      </c>
      <c r="B40" s="2">
        <v>3</v>
      </c>
      <c r="C40" s="114" t="s">
        <v>85</v>
      </c>
      <c r="D40" s="10"/>
    </row>
    <row r="41" spans="1:4" x14ac:dyDescent="0.25">
      <c r="A41" s="1" t="s">
        <v>27</v>
      </c>
      <c r="B41" s="2">
        <v>3</v>
      </c>
      <c r="C41" s="114" t="s">
        <v>86</v>
      </c>
      <c r="D41" s="10"/>
    </row>
    <row r="42" spans="1:4" x14ac:dyDescent="0.25">
      <c r="A42" s="1" t="s">
        <v>35</v>
      </c>
      <c r="B42" s="2">
        <v>1</v>
      </c>
      <c r="C42" s="114" t="s">
        <v>87</v>
      </c>
      <c r="D42" s="10"/>
    </row>
    <row r="43" spans="1:4" ht="27" x14ac:dyDescent="0.25">
      <c r="A43" s="1" t="s">
        <v>26</v>
      </c>
      <c r="B43" s="2">
        <v>1</v>
      </c>
      <c r="C43" s="114" t="s">
        <v>88</v>
      </c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ht="14.25" thickBot="1" x14ac:dyDescent="0.3">
      <c r="A47" s="1"/>
      <c r="B47" s="2"/>
      <c r="C47" s="10"/>
      <c r="D47" s="10"/>
    </row>
    <row r="48" spans="1:4" ht="14.25" thickBot="1" x14ac:dyDescent="0.3">
      <c r="A48" s="48" t="s">
        <v>22</v>
      </c>
      <c r="B48" s="48">
        <f>SUM(B39:B47)</f>
        <v>12</v>
      </c>
      <c r="C48" s="112" t="s">
        <v>50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14</v>
      </c>
      <c r="B50" s="44">
        <v>5</v>
      </c>
      <c r="C50" s="45" t="s">
        <v>23</v>
      </c>
      <c r="D50" s="54">
        <f>$D$37+7</f>
        <v>44463</v>
      </c>
    </row>
    <row r="51" spans="1:4" ht="27.75" thickBot="1" x14ac:dyDescent="0.3">
      <c r="A51" s="46" t="s">
        <v>3</v>
      </c>
      <c r="B51" s="47" t="s">
        <v>15</v>
      </c>
      <c r="C51" s="46" t="s">
        <v>7</v>
      </c>
      <c r="D51" s="46" t="s">
        <v>13</v>
      </c>
    </row>
    <row r="52" spans="1:4" ht="27" x14ac:dyDescent="0.25">
      <c r="A52" s="5" t="s">
        <v>31</v>
      </c>
      <c r="B52" s="4">
        <v>5</v>
      </c>
      <c r="C52" s="113" t="s">
        <v>89</v>
      </c>
      <c r="D52" s="9"/>
    </row>
    <row r="53" spans="1:4" x14ac:dyDescent="0.25">
      <c r="A53" s="1" t="s">
        <v>32</v>
      </c>
      <c r="B53" s="2">
        <v>1</v>
      </c>
      <c r="C53" s="114" t="s">
        <v>90</v>
      </c>
      <c r="D53" s="10"/>
    </row>
    <row r="54" spans="1:4" x14ac:dyDescent="0.25">
      <c r="A54" s="1" t="s">
        <v>34</v>
      </c>
      <c r="B54" s="2">
        <v>2</v>
      </c>
      <c r="C54" s="114" t="s">
        <v>91</v>
      </c>
      <c r="D54" s="10"/>
    </row>
    <row r="55" spans="1:4" x14ac:dyDescent="0.25">
      <c r="A55" s="1" t="s">
        <v>35</v>
      </c>
      <c r="B55" s="2">
        <v>3</v>
      </c>
      <c r="C55" s="114" t="s">
        <v>92</v>
      </c>
      <c r="D55" s="10"/>
    </row>
    <row r="56" spans="1:4" ht="27" x14ac:dyDescent="0.25">
      <c r="A56" s="1" t="s">
        <v>26</v>
      </c>
      <c r="B56" s="2">
        <v>1</v>
      </c>
      <c r="C56" s="114" t="s">
        <v>93</v>
      </c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ht="14.25" thickBot="1" x14ac:dyDescent="0.3">
      <c r="A60" s="1"/>
      <c r="B60" s="2"/>
      <c r="C60" s="10"/>
      <c r="D60" s="10"/>
    </row>
    <row r="61" spans="1:4" ht="14.25" thickBot="1" x14ac:dyDescent="0.3">
      <c r="A61" s="48" t="s">
        <v>22</v>
      </c>
      <c r="B61" s="48">
        <f>SUM(B52:B60)</f>
        <v>12</v>
      </c>
      <c r="C61" s="112" t="s">
        <v>50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6</v>
      </c>
      <c r="C63" s="45" t="s">
        <v>23</v>
      </c>
      <c r="D63" s="54">
        <f>$D$50+7</f>
        <v>44470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ht="27" x14ac:dyDescent="0.25">
      <c r="A65" s="5" t="s">
        <v>35</v>
      </c>
      <c r="B65" s="4">
        <v>10</v>
      </c>
      <c r="C65" s="113" t="s">
        <v>94</v>
      </c>
      <c r="D65" s="9"/>
    </row>
    <row r="66" spans="1:4" x14ac:dyDescent="0.25">
      <c r="A66" s="1" t="s">
        <v>37</v>
      </c>
      <c r="B66" s="2">
        <v>1</v>
      </c>
      <c r="C66" s="114" t="s">
        <v>95</v>
      </c>
      <c r="D66" s="10"/>
    </row>
    <row r="67" spans="1:4" ht="27" x14ac:dyDescent="0.25">
      <c r="A67" s="1" t="s">
        <v>26</v>
      </c>
      <c r="B67" s="2">
        <v>1</v>
      </c>
      <c r="C67" s="114" t="s">
        <v>96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ht="14.25" thickBot="1" x14ac:dyDescent="0.3">
      <c r="A71" s="1"/>
      <c r="B71" s="2"/>
      <c r="C71" s="10"/>
      <c r="D71" s="10"/>
    </row>
    <row r="72" spans="1:4" ht="14.25" thickBot="1" x14ac:dyDescent="0.3">
      <c r="A72" s="48" t="s">
        <v>22</v>
      </c>
      <c r="B72" s="48">
        <f>SUM(B65:B71)</f>
        <v>12</v>
      </c>
      <c r="C72" s="112" t="s">
        <v>50</v>
      </c>
      <c r="D72" s="49"/>
    </row>
    <row r="73" spans="1:4" ht="15" thickBot="1" x14ac:dyDescent="0.35">
      <c r="A73" s="50"/>
      <c r="B73" s="50"/>
      <c r="C73" s="50"/>
      <c r="D73" s="50"/>
    </row>
    <row r="74" spans="1:4" ht="18.75" thickBot="1" x14ac:dyDescent="0.3">
      <c r="A74" s="43" t="s">
        <v>14</v>
      </c>
      <c r="B74" s="44">
        <v>7</v>
      </c>
      <c r="C74" s="45" t="s">
        <v>23</v>
      </c>
      <c r="D74" s="54">
        <f>$D$63+7</f>
        <v>44477</v>
      </c>
    </row>
    <row r="75" spans="1:4" ht="27.75" thickBot="1" x14ac:dyDescent="0.3">
      <c r="A75" s="46" t="s">
        <v>3</v>
      </c>
      <c r="B75" s="47" t="s">
        <v>15</v>
      </c>
      <c r="C75" s="46" t="s">
        <v>7</v>
      </c>
      <c r="D75" s="46" t="s">
        <v>13</v>
      </c>
    </row>
    <row r="76" spans="1:4" x14ac:dyDescent="0.25">
      <c r="A76" s="5" t="s">
        <v>34</v>
      </c>
      <c r="B76" s="4">
        <v>4</v>
      </c>
      <c r="C76" s="113" t="s">
        <v>97</v>
      </c>
      <c r="D76" s="9"/>
    </row>
    <row r="77" spans="1:4" x14ac:dyDescent="0.25">
      <c r="A77" s="1" t="s">
        <v>21</v>
      </c>
      <c r="B77" s="2">
        <v>3</v>
      </c>
      <c r="C77" s="114" t="s">
        <v>98</v>
      </c>
      <c r="D77" s="10"/>
    </row>
    <row r="78" spans="1:4" x14ac:dyDescent="0.25">
      <c r="A78" s="1" t="s">
        <v>37</v>
      </c>
      <c r="B78" s="2">
        <v>4</v>
      </c>
      <c r="C78" s="114" t="s">
        <v>99</v>
      </c>
      <c r="D78" s="10"/>
    </row>
    <row r="79" spans="1:4" ht="27" x14ac:dyDescent="0.25">
      <c r="A79" s="1" t="s">
        <v>26</v>
      </c>
      <c r="B79" s="2">
        <v>1</v>
      </c>
      <c r="C79" s="114" t="s">
        <v>100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ht="14.25" thickBot="1" x14ac:dyDescent="0.3">
      <c r="A83" s="1"/>
      <c r="B83" s="2"/>
      <c r="C83" s="10"/>
      <c r="D83" s="10"/>
    </row>
    <row r="84" spans="1:4" ht="14.25" thickBot="1" x14ac:dyDescent="0.3">
      <c r="A84" s="48" t="s">
        <v>22</v>
      </c>
      <c r="B84" s="48">
        <f>SUM(B76:B83)</f>
        <v>12</v>
      </c>
      <c r="C84" s="112" t="s">
        <v>50</v>
      </c>
      <c r="D84" s="49"/>
    </row>
    <row r="85" spans="1:4" ht="15" thickBot="1" x14ac:dyDescent="0.35">
      <c r="A85" s="50"/>
      <c r="B85" s="50"/>
      <c r="C85" s="50"/>
      <c r="D85" s="50"/>
    </row>
    <row r="86" spans="1:4" ht="18.75" thickBot="1" x14ac:dyDescent="0.3">
      <c r="A86" s="43" t="s">
        <v>14</v>
      </c>
      <c r="B86" s="44">
        <v>8</v>
      </c>
      <c r="C86" s="45" t="s">
        <v>23</v>
      </c>
      <c r="D86" s="54">
        <f>$D$74+7</f>
        <v>44484</v>
      </c>
    </row>
    <row r="87" spans="1:4" ht="27.75" thickBot="1" x14ac:dyDescent="0.3">
      <c r="A87" s="46" t="s">
        <v>3</v>
      </c>
      <c r="B87" s="47" t="s">
        <v>15</v>
      </c>
      <c r="C87" s="46" t="s">
        <v>7</v>
      </c>
      <c r="D87" s="46" t="s">
        <v>13</v>
      </c>
    </row>
    <row r="88" spans="1:4" ht="27" x14ac:dyDescent="0.25">
      <c r="A88" s="5" t="s">
        <v>36</v>
      </c>
      <c r="B88" s="4">
        <v>8</v>
      </c>
      <c r="C88" s="113" t="s">
        <v>101</v>
      </c>
      <c r="D88" s="9"/>
    </row>
    <row r="89" spans="1:4" x14ac:dyDescent="0.25">
      <c r="A89" s="1" t="s">
        <v>35</v>
      </c>
      <c r="B89" s="2">
        <v>3</v>
      </c>
      <c r="C89" s="114" t="s">
        <v>102</v>
      </c>
      <c r="D89" s="10"/>
    </row>
    <row r="90" spans="1:4" ht="27" x14ac:dyDescent="0.25">
      <c r="A90" s="1" t="s">
        <v>26</v>
      </c>
      <c r="B90" s="2">
        <v>1</v>
      </c>
      <c r="C90" s="114" t="s">
        <v>103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ht="14.25" thickBot="1" x14ac:dyDescent="0.3">
      <c r="A94" s="1"/>
      <c r="B94" s="2"/>
      <c r="C94" s="10"/>
      <c r="D94" s="10"/>
    </row>
    <row r="95" spans="1:4" ht="14.25" thickBot="1" x14ac:dyDescent="0.3">
      <c r="A95" s="48" t="s">
        <v>22</v>
      </c>
      <c r="B95" s="48">
        <f>SUM(B88:B94)</f>
        <v>12</v>
      </c>
      <c r="C95" s="112" t="s">
        <v>50</v>
      </c>
      <c r="D95" s="49"/>
    </row>
    <row r="96" spans="1:4" ht="15" thickBot="1" x14ac:dyDescent="0.35">
      <c r="A96" s="50"/>
      <c r="B96" s="50"/>
      <c r="C96" s="50"/>
      <c r="D96" s="50"/>
    </row>
    <row r="97" spans="1:4" ht="18.75" thickBot="1" x14ac:dyDescent="0.3">
      <c r="A97" s="43" t="s">
        <v>14</v>
      </c>
      <c r="B97" s="44">
        <v>9</v>
      </c>
      <c r="C97" s="45" t="s">
        <v>23</v>
      </c>
      <c r="D97" s="54">
        <f>$D$86+21</f>
        <v>44505</v>
      </c>
    </row>
    <row r="98" spans="1:4" ht="27.75" thickBot="1" x14ac:dyDescent="0.3">
      <c r="A98" s="46" t="s">
        <v>3</v>
      </c>
      <c r="B98" s="47" t="s">
        <v>15</v>
      </c>
      <c r="C98" s="46" t="s">
        <v>7</v>
      </c>
      <c r="D98" s="46" t="s">
        <v>13</v>
      </c>
    </row>
    <row r="99" spans="1:4" ht="27" x14ac:dyDescent="0.25">
      <c r="A99" s="5" t="s">
        <v>33</v>
      </c>
      <c r="B99" s="4">
        <v>8</v>
      </c>
      <c r="C99" s="113" t="s">
        <v>104</v>
      </c>
      <c r="D99" s="9"/>
    </row>
    <row r="100" spans="1:4" x14ac:dyDescent="0.25">
      <c r="A100" s="1" t="s">
        <v>27</v>
      </c>
      <c r="B100" s="2">
        <v>3</v>
      </c>
      <c r="C100" s="114" t="s">
        <v>105</v>
      </c>
      <c r="D100" s="10"/>
    </row>
    <row r="101" spans="1:4" ht="27" x14ac:dyDescent="0.25">
      <c r="A101" s="1" t="s">
        <v>26</v>
      </c>
      <c r="B101" s="2">
        <v>1</v>
      </c>
      <c r="C101" s="114" t="s">
        <v>106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ht="14.25" thickBot="1" x14ac:dyDescent="0.3">
      <c r="A105" s="1"/>
      <c r="B105" s="2"/>
      <c r="C105" s="10"/>
      <c r="D105" s="10"/>
    </row>
    <row r="106" spans="1:4" ht="14.25" thickBot="1" x14ac:dyDescent="0.3">
      <c r="A106" s="48" t="s">
        <v>22</v>
      </c>
      <c r="B106" s="48">
        <f>SUM(B99:B105)</f>
        <v>12</v>
      </c>
      <c r="C106" s="112" t="s">
        <v>50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14</v>
      </c>
      <c r="B108" s="44">
        <v>10</v>
      </c>
      <c r="C108" s="45" t="s">
        <v>23</v>
      </c>
      <c r="D108" s="54">
        <f>$D$97+7</f>
        <v>44512</v>
      </c>
    </row>
    <row r="109" spans="1:4" ht="27.75" thickBot="1" x14ac:dyDescent="0.3">
      <c r="A109" s="46" t="s">
        <v>3</v>
      </c>
      <c r="B109" s="47" t="s">
        <v>15</v>
      </c>
      <c r="C109" s="46" t="s">
        <v>7</v>
      </c>
      <c r="D109" s="46" t="s">
        <v>13</v>
      </c>
    </row>
    <row r="110" spans="1:4" x14ac:dyDescent="0.25">
      <c r="A110" s="5" t="s">
        <v>34</v>
      </c>
      <c r="B110" s="4">
        <v>3</v>
      </c>
      <c r="C110" s="113" t="s">
        <v>107</v>
      </c>
      <c r="D110" s="9"/>
    </row>
    <row r="111" spans="1:4" x14ac:dyDescent="0.25">
      <c r="A111" s="1" t="s">
        <v>36</v>
      </c>
      <c r="B111" s="2">
        <v>3</v>
      </c>
      <c r="C111" s="114" t="s">
        <v>108</v>
      </c>
      <c r="D111" s="10"/>
    </row>
    <row r="112" spans="1:4" ht="27" x14ac:dyDescent="0.25">
      <c r="A112" s="1" t="s">
        <v>27</v>
      </c>
      <c r="B112" s="2">
        <v>5</v>
      </c>
      <c r="C112" s="114" t="s">
        <v>109</v>
      </c>
      <c r="D112" s="10"/>
    </row>
    <row r="113" spans="1:4" ht="27" x14ac:dyDescent="0.25">
      <c r="A113" s="1" t="s">
        <v>26</v>
      </c>
      <c r="B113" s="2">
        <v>1</v>
      </c>
      <c r="C113" s="114" t="s">
        <v>110</v>
      </c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ht="14.25" thickBot="1" x14ac:dyDescent="0.3">
      <c r="A117" s="1"/>
      <c r="B117" s="2"/>
      <c r="C117" s="10"/>
      <c r="D117" s="10"/>
    </row>
    <row r="118" spans="1:4" ht="14.25" thickBot="1" x14ac:dyDescent="0.3">
      <c r="A118" s="48" t="s">
        <v>22</v>
      </c>
      <c r="B118" s="48">
        <f>SUM(B110:B117)</f>
        <v>12</v>
      </c>
      <c r="C118" s="112" t="s">
        <v>50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14</v>
      </c>
      <c r="B120" s="44">
        <v>11</v>
      </c>
      <c r="C120" s="45" t="s">
        <v>23</v>
      </c>
      <c r="D120" s="54">
        <f>$D$108+7</f>
        <v>44519</v>
      </c>
    </row>
    <row r="121" spans="1:4" ht="27.75" thickBot="1" x14ac:dyDescent="0.3">
      <c r="A121" s="46" t="s">
        <v>3</v>
      </c>
      <c r="B121" s="47" t="s">
        <v>15</v>
      </c>
      <c r="C121" s="46" t="s">
        <v>7</v>
      </c>
      <c r="D121" s="46" t="s">
        <v>13</v>
      </c>
    </row>
    <row r="122" spans="1:4" x14ac:dyDescent="0.25">
      <c r="A122" s="5" t="s">
        <v>30</v>
      </c>
      <c r="B122" s="4">
        <v>8</v>
      </c>
      <c r="C122" s="113" t="s">
        <v>111</v>
      </c>
      <c r="D122" s="9"/>
    </row>
    <row r="123" spans="1:4" x14ac:dyDescent="0.25">
      <c r="A123" s="1" t="s">
        <v>46</v>
      </c>
      <c r="B123" s="2">
        <v>3</v>
      </c>
      <c r="C123" s="114" t="s">
        <v>112</v>
      </c>
      <c r="D123" s="10"/>
    </row>
    <row r="124" spans="1:4" ht="27" x14ac:dyDescent="0.25">
      <c r="A124" s="1" t="s">
        <v>26</v>
      </c>
      <c r="B124" s="2">
        <v>1</v>
      </c>
      <c r="C124" s="114" t="s">
        <v>113</v>
      </c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ht="14.25" thickBot="1" x14ac:dyDescent="0.3">
      <c r="A128" s="1"/>
      <c r="B128" s="2"/>
      <c r="C128" s="10"/>
      <c r="D128" s="10"/>
    </row>
    <row r="129" spans="1:4" ht="14.25" thickBot="1" x14ac:dyDescent="0.3">
      <c r="A129" s="48" t="s">
        <v>22</v>
      </c>
      <c r="B129" s="48">
        <f>SUM(B122:B128)</f>
        <v>12</v>
      </c>
      <c r="C129" s="112" t="s">
        <v>50</v>
      </c>
      <c r="D129" s="49"/>
    </row>
    <row r="130" spans="1:4" ht="15" thickBot="1" x14ac:dyDescent="0.35">
      <c r="A130" s="50"/>
      <c r="B130" s="50"/>
      <c r="C130" s="50"/>
      <c r="D130" s="50"/>
    </row>
    <row r="131" spans="1:4" ht="18.75" thickBot="1" x14ac:dyDescent="0.3">
      <c r="A131" s="43" t="s">
        <v>14</v>
      </c>
      <c r="B131" s="44">
        <v>12</v>
      </c>
      <c r="C131" s="45" t="s">
        <v>23</v>
      </c>
      <c r="D131" s="54">
        <f>$D$120+7</f>
        <v>44526</v>
      </c>
    </row>
    <row r="132" spans="1:4" ht="27.75" thickBot="1" x14ac:dyDescent="0.3">
      <c r="A132" s="46" t="s">
        <v>3</v>
      </c>
      <c r="B132" s="47" t="s">
        <v>15</v>
      </c>
      <c r="C132" s="46" t="s">
        <v>7</v>
      </c>
      <c r="D132" s="46" t="s">
        <v>13</v>
      </c>
    </row>
    <row r="133" spans="1:4" x14ac:dyDescent="0.25">
      <c r="A133" s="5" t="s">
        <v>42</v>
      </c>
      <c r="B133" s="4">
        <v>1</v>
      </c>
      <c r="C133" s="113" t="s">
        <v>117</v>
      </c>
      <c r="D133" s="9"/>
    </row>
    <row r="134" spans="1:4" x14ac:dyDescent="0.25">
      <c r="A134" s="1" t="s">
        <v>42</v>
      </c>
      <c r="B134" s="2">
        <v>2</v>
      </c>
      <c r="C134" s="114" t="s">
        <v>114</v>
      </c>
      <c r="D134" s="10"/>
    </row>
    <row r="135" spans="1:4" x14ac:dyDescent="0.25">
      <c r="A135" s="1" t="s">
        <v>42</v>
      </c>
      <c r="B135" s="2">
        <v>3</v>
      </c>
      <c r="C135" s="114" t="s">
        <v>115</v>
      </c>
      <c r="D135" s="10"/>
    </row>
    <row r="136" spans="1:4" x14ac:dyDescent="0.25">
      <c r="A136" s="1" t="s">
        <v>41</v>
      </c>
      <c r="B136" s="2">
        <v>1</v>
      </c>
      <c r="C136" s="114" t="s">
        <v>116</v>
      </c>
      <c r="D136" s="10"/>
    </row>
    <row r="137" spans="1:4" x14ac:dyDescent="0.25">
      <c r="A137" s="1" t="s">
        <v>41</v>
      </c>
      <c r="B137" s="2">
        <v>1</v>
      </c>
      <c r="C137" s="114" t="s">
        <v>118</v>
      </c>
      <c r="D137" s="10"/>
    </row>
    <row r="138" spans="1:4" ht="27" x14ac:dyDescent="0.25">
      <c r="A138" s="1" t="s">
        <v>40</v>
      </c>
      <c r="B138" s="2">
        <v>3</v>
      </c>
      <c r="C138" s="114" t="s">
        <v>119</v>
      </c>
      <c r="D138" s="10"/>
    </row>
    <row r="139" spans="1:4" ht="27" x14ac:dyDescent="0.25">
      <c r="A139" s="1" t="s">
        <v>26</v>
      </c>
      <c r="B139" s="2">
        <v>1</v>
      </c>
      <c r="C139" s="114" t="s">
        <v>120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2"/>
      <c r="B142" s="2"/>
      <c r="C142" s="10"/>
      <c r="D142" s="10"/>
    </row>
    <row r="143" spans="1:4" ht="14.25" thickBot="1" x14ac:dyDescent="0.3">
      <c r="A143" s="2"/>
      <c r="B143" s="2"/>
      <c r="C143" s="10"/>
      <c r="D143" s="10"/>
    </row>
    <row r="144" spans="1:4" ht="14.25" thickBot="1" x14ac:dyDescent="0.3">
      <c r="A144" s="48" t="s">
        <v>22</v>
      </c>
      <c r="B144" s="48">
        <f>SUM(B133:B143)</f>
        <v>12</v>
      </c>
      <c r="C144" s="112" t="s">
        <v>50</v>
      </c>
      <c r="D144" s="49"/>
    </row>
    <row r="145" spans="1:4" ht="15" thickBot="1" x14ac:dyDescent="0.35">
      <c r="A145" s="50"/>
      <c r="B145" s="50"/>
      <c r="C145" s="50"/>
      <c r="D145" s="50"/>
    </row>
    <row r="146" spans="1:4" ht="18.75" thickBot="1" x14ac:dyDescent="0.3">
      <c r="A146" s="43" t="s">
        <v>14</v>
      </c>
      <c r="B146" s="44">
        <v>13</v>
      </c>
      <c r="C146" s="45" t="s">
        <v>23</v>
      </c>
      <c r="D146" s="54">
        <f>$D$131+7</f>
        <v>44533</v>
      </c>
    </row>
    <row r="147" spans="1:4" ht="27.75" thickBot="1" x14ac:dyDescent="0.3">
      <c r="A147" s="46" t="s">
        <v>3</v>
      </c>
      <c r="B147" s="47" t="s">
        <v>15</v>
      </c>
      <c r="C147" s="46" t="s">
        <v>7</v>
      </c>
      <c r="D147" s="46" t="s">
        <v>13</v>
      </c>
    </row>
    <row r="148" spans="1:4" x14ac:dyDescent="0.25">
      <c r="A148" s="5" t="s">
        <v>21</v>
      </c>
      <c r="B148" s="4">
        <v>12</v>
      </c>
      <c r="C148" s="113" t="s">
        <v>121</v>
      </c>
      <c r="D148" s="9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ht="14.25" thickBot="1" x14ac:dyDescent="0.3">
      <c r="A152" s="1"/>
      <c r="B152" s="2"/>
      <c r="C152" s="10"/>
      <c r="D152" s="10"/>
    </row>
    <row r="153" spans="1:4" ht="14.25" thickBot="1" x14ac:dyDescent="0.3">
      <c r="A153" s="48" t="s">
        <v>22</v>
      </c>
      <c r="B153" s="48">
        <f>SUM(B148:B152)</f>
        <v>12</v>
      </c>
      <c r="C153" s="112" t="s">
        <v>50</v>
      </c>
      <c r="D153" s="49"/>
    </row>
    <row r="154" spans="1:4" ht="15" thickBot="1" x14ac:dyDescent="0.35">
      <c r="A154" s="50"/>
      <c r="B154" s="50"/>
      <c r="C154" s="50"/>
      <c r="D154" s="50"/>
    </row>
    <row r="155" spans="1:4" ht="18.75" thickBot="1" x14ac:dyDescent="0.3">
      <c r="A155" s="43" t="s">
        <v>14</v>
      </c>
      <c r="B155" s="44">
        <v>14</v>
      </c>
      <c r="C155" s="45" t="s">
        <v>23</v>
      </c>
      <c r="D155" s="54">
        <f>$D$146+7</f>
        <v>44540</v>
      </c>
    </row>
    <row r="156" spans="1:4" ht="27.75" thickBot="1" x14ac:dyDescent="0.3">
      <c r="A156" s="46" t="s">
        <v>3</v>
      </c>
      <c r="B156" s="47" t="s">
        <v>15</v>
      </c>
      <c r="C156" s="46" t="s">
        <v>7</v>
      </c>
      <c r="D156" s="46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2"/>
      <c r="B168" s="2"/>
      <c r="C168" s="10"/>
      <c r="D168" s="10"/>
    </row>
    <row r="169" spans="1:4" x14ac:dyDescent="0.25">
      <c r="A169" s="51"/>
      <c r="B169" s="51"/>
      <c r="C169" s="52"/>
      <c r="D169" s="52"/>
    </row>
    <row r="170" spans="1:4" x14ac:dyDescent="0.25">
      <c r="A170" s="51"/>
      <c r="B170" s="51"/>
      <c r="C170" s="52"/>
      <c r="D170" s="52"/>
    </row>
    <row r="171" spans="1:4" ht="14.25" thickBot="1" x14ac:dyDescent="0.3">
      <c r="A171" s="3"/>
      <c r="B171" s="3"/>
      <c r="C171" s="11"/>
      <c r="D171" s="11"/>
    </row>
    <row r="172" spans="1:4" ht="14.25" thickBot="1" x14ac:dyDescent="0.3">
      <c r="A172" s="48" t="s">
        <v>22</v>
      </c>
      <c r="B172" s="48">
        <f>SUM(B157:B171)</f>
        <v>0</v>
      </c>
      <c r="C172" s="112" t="s">
        <v>50</v>
      </c>
      <c r="D172" s="49"/>
    </row>
    <row r="173" spans="1:4" ht="15" thickBot="1" x14ac:dyDescent="0.35">
      <c r="A173" s="50"/>
      <c r="B173" s="50"/>
      <c r="C173" s="50"/>
      <c r="D173" s="50"/>
    </row>
    <row r="174" spans="1:4" ht="18.75" thickBot="1" x14ac:dyDescent="0.3">
      <c r="A174" s="43" t="s">
        <v>14</v>
      </c>
      <c r="B174" s="44">
        <v>15</v>
      </c>
      <c r="C174" s="45" t="s">
        <v>23</v>
      </c>
      <c r="D174" s="54">
        <f>$D$155+7</f>
        <v>44547</v>
      </c>
    </row>
    <row r="175" spans="1:4" ht="27.75" thickBot="1" x14ac:dyDescent="0.3">
      <c r="A175" s="46" t="s">
        <v>3</v>
      </c>
      <c r="B175" s="47" t="s">
        <v>15</v>
      </c>
      <c r="C175" s="46" t="s">
        <v>7</v>
      </c>
      <c r="D175" s="46" t="s">
        <v>13</v>
      </c>
    </row>
    <row r="176" spans="1:4" x14ac:dyDescent="0.25">
      <c r="A176" s="5"/>
      <c r="B176" s="4"/>
      <c r="C176" s="9"/>
      <c r="D176" s="9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2"/>
      <c r="B186" s="2"/>
      <c r="C186" s="10"/>
      <c r="D186" s="10"/>
    </row>
    <row r="187" spans="1:4" x14ac:dyDescent="0.25">
      <c r="A187" s="2"/>
      <c r="B187" s="2"/>
      <c r="C187" s="10"/>
      <c r="D187" s="10"/>
    </row>
    <row r="188" spans="1:4" x14ac:dyDescent="0.25">
      <c r="A188" s="51"/>
      <c r="B188" s="51"/>
      <c r="C188" s="52"/>
      <c r="D188" s="52"/>
    </row>
    <row r="189" spans="1:4" x14ac:dyDescent="0.25">
      <c r="A189" s="51"/>
      <c r="B189" s="51"/>
      <c r="C189" s="52"/>
      <c r="D189" s="52"/>
    </row>
    <row r="190" spans="1:4" ht="14.25" thickBot="1" x14ac:dyDescent="0.3">
      <c r="A190" s="3"/>
      <c r="B190" s="3"/>
      <c r="C190" s="11"/>
      <c r="D190" s="11"/>
    </row>
    <row r="191" spans="1:4" ht="14.25" thickBot="1" x14ac:dyDescent="0.3">
      <c r="A191" s="48" t="s">
        <v>22</v>
      </c>
      <c r="B191" s="48">
        <f>SUM(B176:B190)</f>
        <v>0</v>
      </c>
      <c r="C191" s="112" t="s">
        <v>50</v>
      </c>
      <c r="D191" s="49"/>
    </row>
    <row r="192" spans="1:4" ht="15" thickBot="1" x14ac:dyDescent="0.35">
      <c r="A192" s="50"/>
      <c r="B192" s="50"/>
      <c r="C192" s="50"/>
      <c r="D192" s="50"/>
    </row>
    <row r="193" spans="1:4" ht="18.75" thickBot="1" x14ac:dyDescent="0.3">
      <c r="A193" s="43" t="s">
        <v>14</v>
      </c>
      <c r="B193" s="44">
        <v>16</v>
      </c>
      <c r="C193" s="45" t="s">
        <v>23</v>
      </c>
      <c r="D193" s="54">
        <f>$D$174+7</f>
        <v>44554</v>
      </c>
    </row>
    <row r="194" spans="1:4" ht="27.75" thickBot="1" x14ac:dyDescent="0.3">
      <c r="A194" s="46" t="s">
        <v>3</v>
      </c>
      <c r="B194" s="47" t="s">
        <v>15</v>
      </c>
      <c r="C194" s="46" t="s">
        <v>7</v>
      </c>
      <c r="D194" s="46" t="s">
        <v>13</v>
      </c>
    </row>
    <row r="195" spans="1:4" x14ac:dyDescent="0.25">
      <c r="A195" s="5"/>
      <c r="B195" s="4"/>
      <c r="C195" s="9"/>
      <c r="D195" s="9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51"/>
      <c r="B207" s="51"/>
      <c r="C207" s="52"/>
      <c r="D207" s="52"/>
    </row>
    <row r="208" spans="1:4" x14ac:dyDescent="0.25">
      <c r="A208" s="51"/>
      <c r="B208" s="51"/>
      <c r="C208" s="52"/>
      <c r="D208" s="52"/>
    </row>
    <row r="209" spans="1:4" ht="14.25" thickBot="1" x14ac:dyDescent="0.3">
      <c r="A209" s="3"/>
      <c r="B209" s="3"/>
      <c r="C209" s="11"/>
      <c r="D209" s="11"/>
    </row>
    <row r="210" spans="1:4" ht="14.25" thickBot="1" x14ac:dyDescent="0.3">
      <c r="A210" s="48" t="s">
        <v>22</v>
      </c>
      <c r="B210" s="48">
        <f>SUM(B195:B209)</f>
        <v>0</v>
      </c>
      <c r="C210" s="112" t="s">
        <v>50</v>
      </c>
      <c r="D210" s="49"/>
    </row>
    <row r="211" spans="1:4" ht="14.25" x14ac:dyDescent="0.3">
      <c r="A211" s="50"/>
      <c r="B211" s="50"/>
      <c r="C211" s="50"/>
      <c r="D211" s="50"/>
    </row>
    <row r="212" spans="1:4" x14ac:dyDescent="0.25">
      <c r="A212" s="89" t="s">
        <v>51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1 B3:B9 B14:B21 B26:B34 B39:B47 B52:B60 B195:B209 B65:B71 B76:B83 B88:B94 B99:B105 B110:B117 B122:B128 B148:B152 B157:B171 B176:B190 B133:B14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2 B35 B48 B61 B72 B84 B95 B106 B118 B129 B144 B153 B172 B191 B210">
      <formula1>0</formula1>
      <formula2>NbPerWeek * NbQuartPer</formula2>
    </dataValidation>
    <dataValidation type="list" allowBlank="1" showInputMessage="1" showErrorMessage="1" sqref="A3:A9 A14:A21 A26:A34 A39:A47 A52:A60 A65:A71 A195:A209 A76:A83 A88:A94 A99:A105 A110:A117 A122:A128 A148:A152 A157:A171 A176:A190 A133:A143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David Dieperink</cp:lastModifiedBy>
  <cp:lastPrinted>2013-08-29T11:33:15Z</cp:lastPrinted>
  <dcterms:created xsi:type="dcterms:W3CDTF">1996-10-21T11:03:58Z</dcterms:created>
  <dcterms:modified xsi:type="dcterms:W3CDTF">2021-12-10T07:06:21Z</dcterms:modified>
</cp:coreProperties>
</file>