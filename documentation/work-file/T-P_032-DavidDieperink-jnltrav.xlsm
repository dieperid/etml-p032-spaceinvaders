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documentation\work-file\"/>
    </mc:Choice>
  </mc:AlternateContent>
  <bookViews>
    <workbookView xWindow="0" yWindow="0" windowWidth="19200" windowHeight="835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20" i="160"/>
  <c r="B201" i="160"/>
  <c r="B182" i="160"/>
  <c r="B163" i="160"/>
  <c r="B144" i="160"/>
  <c r="B129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1" i="160" s="1"/>
  <c r="D146" i="160" s="1"/>
  <c r="D165" i="160" s="1"/>
  <c r="D184" i="160" s="1"/>
  <c r="D203" i="160" s="1"/>
  <c r="B18" i="154"/>
  <c r="B13" i="11" l="1"/>
</calcChain>
</file>

<file path=xl/sharedStrings.xml><?xml version="1.0" encoding="utf-8"?>
<sst xmlns="http://schemas.openxmlformats.org/spreadsheetml/2006/main" count="518" uniqueCount="121">
  <si>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</si>
  <si>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</si>
  <si>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</si>
  <si>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</si>
  <si>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</si>
  <si>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</si>
  <si>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</si>
  <si>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</si>
  <si>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</si>
  <si>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</si>
  <si>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</si>
  <si>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</si>
  <si>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</si>
  <si>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</si>
  <si>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</si>
  <si>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</si>
  <si>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</si>
  <si>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</si>
  <si>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</si>
  <si>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</si>
  <si>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</si>
  <si>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</si>
  <si>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</si>
  <si>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</si>
  <si>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</si>
  <si>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</si>
  <si>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</si>
  <si>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</si>
  <si>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</si>
  <si>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</si>
  <si>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</si>
  <si>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</si>
  <si>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</si>
  <si>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</si>
  <si>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</si>
  <si>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</si>
  <si>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</si>
  <si>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</si>
  <si>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</si>
  <si>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</si>
  <si>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</si>
  <si>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</si>
  <si>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</si>
  <si>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</si>
  <si>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</si>
  <si>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</si>
  <si>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</si>
  <si>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</si>
  <si>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</si>
  <si>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</si>
  <si>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</si>
  <si>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</si>
  <si>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</si>
  <si>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</si>
  <si>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</si>
  <si>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</si>
  <si>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</si>
  <si>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</si>
  <si>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</si>
  <si>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</si>
  <si>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</si>
  <si>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</si>
  <si>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</si>
  <si>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</si>
  <si>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</si>
  <si>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</si>
  <si>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</si>
  <si>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</si>
  <si>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</si>
  <si>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</si>
  <si>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</si>
  <si>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</si>
  <si>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</si>
  <si>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</si>
  <si>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</si>
  <si>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</si>
  <si>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</si>
  <si>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</si>
  <si>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</si>
  <si>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</si>
  <si>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</si>
  <si>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</si>
  <si>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</si>
  <si>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</si>
  <si>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</si>
  <si>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</si>
  <si>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</si>
  <si>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</si>
  <si>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</si>
  <si>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</si>
  <si>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</si>
  <si>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</si>
  <si>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</si>
  <si>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</si>
  <si>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</si>
  <si>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</si>
  <si>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</si>
  <si>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</si>
  <si>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</si>
  <si>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</si>
  <si>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</si>
  <si>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</si>
  <si>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</si>
  <si>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</si>
  <si>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</si>
  <si>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</si>
  <si>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</si>
  <si>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</si>
  <si>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</si>
  <si>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</si>
  <si>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</si>
  <si>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</si>
  <si>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</si>
  <si>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</si>
  <si>
    <t>Test de la génération des Invaders avec la difficulté easy et hard</t>
  </si>
  <si>
    <t>Test du déplacement des Invaders</t>
  </si>
  <si>
    <t>Test de GameOver sur le Hero quand sa vie est à 0</t>
  </si>
  <si>
    <t>Test de GameOver sur les ennemis quand la list d'invaders est à 0</t>
  </si>
  <si>
    <t>Test au lancement du jeu si le Hero a 3 vies</t>
  </si>
  <si>
    <t>Test sur la génération des murs, si ils perdent de la vie et si dès qu'ils ont 0 vie ils sont supprimé de la list</t>
  </si>
  <si>
    <t>Remplissage du journal de travail pour la semaine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</si>
</sst>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27" t="s">
        <v>52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9"/>
      <c r="P2" s="127" t="s">
        <v>53</v>
      </c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9"/>
      <c r="AB2" s="127" t="s">
        <v>54</v>
      </c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9"/>
      <c r="AN2" s="127" t="s">
        <v>55</v>
      </c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9"/>
      <c r="AZ2" s="127" t="s">
        <v>56</v>
      </c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57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9"/>
      <c r="BX2" s="127" t="s">
        <v>58</v>
      </c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9"/>
      <c r="CJ2" s="127" t="s">
        <v>59</v>
      </c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9"/>
      <c r="CV2" s="127" t="s">
        <v>60</v>
      </c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9"/>
      <c r="DH2" s="127" t="s">
        <v>61</v>
      </c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  <c r="DT2" s="127" t="s">
        <v>62</v>
      </c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9"/>
      <c r="EF2" s="127" t="s">
        <v>63</v>
      </c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9"/>
      <c r="ER2" s="127" t="s">
        <v>64</v>
      </c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9"/>
      <c r="FD2" s="127" t="s">
        <v>65</v>
      </c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9"/>
      <c r="FP2" s="127" t="s">
        <v>66</v>
      </c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9"/>
      <c r="GB2" s="127" t="s">
        <v>67</v>
      </c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9"/>
    </row>
    <row r="3" spans="1:195" ht="19.5" customHeight="1" x14ac:dyDescent="0.25">
      <c r="A3" s="92"/>
      <c r="B3" s="132" t="s">
        <v>21</v>
      </c>
      <c r="C3" s="16">
        <v>3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3"/>
      <c r="C4" s="22">
        <v>3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4" t="str">
        <f>Donnees!$C$21</f>
        <v>Lecture du cahier des charge / planification</v>
      </c>
      <c r="C5" s="103">
        <v>14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119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119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31"/>
      <c r="C6" s="104">
        <v>14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24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24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30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31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30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31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30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31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30" t="str">
        <f>Donnees!$C$25</f>
        <v>Menu-Highscores</v>
      </c>
      <c r="C13" s="103">
        <v>6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115"/>
      <c r="DU13" s="116"/>
      <c r="DV13" s="117"/>
      <c r="DW13" s="118"/>
      <c r="DX13" s="116"/>
      <c r="DY13" s="117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31"/>
      <c r="C14" s="104">
        <v>8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120"/>
      <c r="DU14" s="121"/>
      <c r="DV14" s="122"/>
      <c r="DW14" s="123"/>
      <c r="DX14" s="121"/>
      <c r="DY14" s="122"/>
      <c r="DZ14" s="123"/>
      <c r="EA14" s="121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30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31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30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31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30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31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30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31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30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31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30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31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30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31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30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31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30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31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30" t="str">
        <f>Donnees!$C$35</f>
        <v>Menu-Tests</v>
      </c>
      <c r="C33" s="103">
        <v>3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117"/>
      <c r="EO33" s="118"/>
      <c r="EP33" s="116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31"/>
      <c r="C34" s="104">
        <v>3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22"/>
      <c r="EO34" s="123"/>
      <c r="EP34" s="121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30" t="str">
        <f>Donnees!$C$36</f>
        <v>Vaisseau-Tests</v>
      </c>
      <c r="C35" s="103">
        <v>2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118"/>
      <c r="EM35" s="116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31"/>
      <c r="C36" s="104">
        <v>2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23"/>
      <c r="EM36" s="121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30" t="str">
        <f>Donnees!$C$37</f>
        <v>Ennemi-Tests</v>
      </c>
      <c r="C37" s="103">
        <v>6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115"/>
      <c r="EG37" s="116"/>
      <c r="EH37" s="117"/>
      <c r="EI37" s="118"/>
      <c r="EJ37" s="116"/>
      <c r="EK37" s="117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31"/>
      <c r="C38" s="104">
        <v>6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120"/>
      <c r="EG38" s="121"/>
      <c r="EH38" s="122"/>
      <c r="EI38" s="123"/>
      <c r="EJ38" s="121"/>
      <c r="EK38" s="122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30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31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30" t="str">
        <f>Donnees!$C$39</f>
        <v>Installateur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31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30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31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30" t="str">
        <f>Donnees!$C$41</f>
        <v>Documentation-UML</v>
      </c>
      <c r="C45" s="103">
        <v>5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118"/>
      <c r="EA45" s="116"/>
      <c r="EB45" s="117"/>
      <c r="EC45" s="118"/>
      <c r="ED45" s="116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31"/>
      <c r="C46" s="104">
        <v>3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22"/>
      <c r="EC46" s="123"/>
      <c r="ED46" s="121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30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31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30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31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30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31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144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144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L2:BW2"/>
    <mergeCell ref="BX2:CI2"/>
    <mergeCell ref="CJ2:CU2"/>
    <mergeCell ref="CV2:DG2"/>
    <mergeCell ref="DH2:DS2"/>
    <mergeCell ref="EF2:EQ2"/>
    <mergeCell ref="ER2:FC2"/>
    <mergeCell ref="FD2:FO2"/>
    <mergeCell ref="FP2:GA2"/>
    <mergeCell ref="GB2:GM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2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1</v>
      </c>
      <c r="C157" s="113" t="s">
        <v>117</v>
      </c>
      <c r="D157" s="9"/>
    </row>
    <row r="158" spans="1:4" x14ac:dyDescent="0.25">
      <c r="A158" s="1" t="s">
        <v>42</v>
      </c>
      <c r="B158" s="2">
        <v>2</v>
      </c>
      <c r="C158" s="114" t="s">
        <v>114</v>
      </c>
      <c r="D158" s="10"/>
    </row>
    <row r="159" spans="1:4" x14ac:dyDescent="0.25">
      <c r="A159" s="1" t="s">
        <v>42</v>
      </c>
      <c r="B159" s="2">
        <v>3</v>
      </c>
      <c r="C159" s="114" t="s">
        <v>115</v>
      </c>
      <c r="D159" s="10"/>
    </row>
    <row r="160" spans="1:4" x14ac:dyDescent="0.25">
      <c r="A160" s="1" t="s">
        <v>41</v>
      </c>
      <c r="B160" s="2">
        <v>1</v>
      </c>
      <c r="C160" s="114" t="s">
        <v>116</v>
      </c>
      <c r="D160" s="10"/>
    </row>
    <row r="161" spans="1:4" x14ac:dyDescent="0.25">
      <c r="A161" s="1" t="s">
        <v>41</v>
      </c>
      <c r="B161" s="2">
        <v>1</v>
      </c>
      <c r="C161" s="114" t="s">
        <v>118</v>
      </c>
      <c r="D161" s="10"/>
    </row>
    <row r="162" spans="1:4" ht="27" x14ac:dyDescent="0.25">
      <c r="A162" s="1" t="s">
        <v>40</v>
      </c>
      <c r="B162" s="2">
        <v>3</v>
      </c>
      <c r="C162" s="114" t="s">
        <v>119</v>
      </c>
      <c r="D162" s="10"/>
    </row>
    <row r="163" spans="1:4" ht="27" x14ac:dyDescent="0.25">
      <c r="A163" s="1" t="s">
        <v>26</v>
      </c>
      <c r="B163" s="2">
        <v>1</v>
      </c>
      <c r="C163" s="114" t="s">
        <v>120</v>
      </c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22"/>
  <sheetViews>
    <sheetView workbookViewId="0">
      <selection activeCell="A133" sqref="A133:C13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 t="s">
        <v>30</v>
      </c>
      <c r="B122" s="4">
        <v>8</v>
      </c>
      <c r="C122" s="113" t="s">
        <v>111</v>
      </c>
      <c r="D122" s="9"/>
    </row>
    <row r="123" spans="1:4" x14ac:dyDescent="0.25">
      <c r="A123" s="1" t="s">
        <v>46</v>
      </c>
      <c r="B123" s="2">
        <v>3</v>
      </c>
      <c r="C123" s="114" t="s">
        <v>112</v>
      </c>
      <c r="D123" s="10"/>
    </row>
    <row r="124" spans="1:4" ht="27" x14ac:dyDescent="0.25">
      <c r="A124" s="1" t="s">
        <v>26</v>
      </c>
      <c r="B124" s="2">
        <v>1</v>
      </c>
      <c r="C124" s="114" t="s">
        <v>113</v>
      </c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ht="14.25" thickBot="1" x14ac:dyDescent="0.3">
      <c r="A128" s="1"/>
      <c r="B128" s="2"/>
      <c r="C128" s="10"/>
      <c r="D128" s="10"/>
    </row>
    <row r="129" spans="1:4" ht="14.25" thickBot="1" x14ac:dyDescent="0.3">
      <c r="A129" s="48" t="s">
        <v>22</v>
      </c>
      <c r="B129" s="48">
        <f>SUM(B122:B128)</f>
        <v>12</v>
      </c>
      <c r="C129" s="112" t="s">
        <v>50</v>
      </c>
      <c r="D129" s="49"/>
    </row>
    <row r="130" spans="1:4" ht="15" thickBot="1" x14ac:dyDescent="0.35">
      <c r="A130" s="50"/>
      <c r="B130" s="50"/>
      <c r="C130" s="50"/>
      <c r="D130" s="50"/>
    </row>
    <row r="131" spans="1:4" ht="18.75" thickBot="1" x14ac:dyDescent="0.3">
      <c r="A131" s="43" t="s">
        <v>14</v>
      </c>
      <c r="B131" s="44">
        <v>12</v>
      </c>
      <c r="C131" s="45" t="s">
        <v>23</v>
      </c>
      <c r="D131" s="54">
        <f>$D$120+7</f>
        <v>44526</v>
      </c>
    </row>
    <row r="132" spans="1:4" ht="27.75" thickBot="1" x14ac:dyDescent="0.3">
      <c r="A132" s="46" t="s">
        <v>3</v>
      </c>
      <c r="B132" s="47" t="s">
        <v>15</v>
      </c>
      <c r="C132" s="46" t="s">
        <v>7</v>
      </c>
      <c r="D132" s="46" t="s">
        <v>13</v>
      </c>
    </row>
    <row r="133" spans="1:4" x14ac:dyDescent="0.25">
      <c r="A133" s="5" t="s">
        <v>42</v>
      </c>
      <c r="B133" s="4">
        <v>1</v>
      </c>
      <c r="C133" s="113" t="s">
        <v>117</v>
      </c>
      <c r="D133" s="9"/>
    </row>
    <row r="134" spans="1:4" x14ac:dyDescent="0.25">
      <c r="A134" s="1" t="s">
        <v>42</v>
      </c>
      <c r="B134" s="2">
        <v>2</v>
      </c>
      <c r="C134" s="114" t="s">
        <v>114</v>
      </c>
      <c r="D134" s="10"/>
    </row>
    <row r="135" spans="1:4" x14ac:dyDescent="0.25">
      <c r="A135" s="1" t="s">
        <v>42</v>
      </c>
      <c r="B135" s="2">
        <v>3</v>
      </c>
      <c r="C135" s="114" t="s">
        <v>115</v>
      </c>
      <c r="D135" s="10"/>
    </row>
    <row r="136" spans="1:4" x14ac:dyDescent="0.25">
      <c r="A136" s="1" t="s">
        <v>41</v>
      </c>
      <c r="B136" s="2">
        <v>1</v>
      </c>
      <c r="C136" s="114" t="s">
        <v>116</v>
      </c>
      <c r="D136" s="10"/>
    </row>
    <row r="137" spans="1:4" x14ac:dyDescent="0.25">
      <c r="A137" s="1" t="s">
        <v>41</v>
      </c>
      <c r="B137" s="2">
        <v>1</v>
      </c>
      <c r="C137" s="114" t="s">
        <v>118</v>
      </c>
      <c r="D137" s="10"/>
    </row>
    <row r="138" spans="1:4" ht="27" x14ac:dyDescent="0.25">
      <c r="A138" s="1" t="s">
        <v>40</v>
      </c>
      <c r="B138" s="2">
        <v>3</v>
      </c>
      <c r="C138" s="114" t="s">
        <v>119</v>
      </c>
      <c r="D138" s="10"/>
    </row>
    <row r="139" spans="1:4" ht="27" x14ac:dyDescent="0.25">
      <c r="A139" s="1" t="s">
        <v>26</v>
      </c>
      <c r="B139" s="2">
        <v>1</v>
      </c>
      <c r="C139" s="114" t="s">
        <v>120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2"/>
      <c r="B142" s="2"/>
      <c r="C142" s="10"/>
      <c r="D142" s="10"/>
    </row>
    <row r="143" spans="1:4" ht="14.25" thickBot="1" x14ac:dyDescent="0.3">
      <c r="A143" s="2"/>
      <c r="B143" s="2"/>
      <c r="C143" s="10"/>
      <c r="D143" s="10"/>
    </row>
    <row r="144" spans="1:4" ht="14.25" thickBot="1" x14ac:dyDescent="0.3">
      <c r="A144" s="48" t="s">
        <v>22</v>
      </c>
      <c r="B144" s="48">
        <f>SUM(B133:B143)</f>
        <v>12</v>
      </c>
      <c r="C144" s="112" t="s">
        <v>50</v>
      </c>
      <c r="D144" s="49"/>
    </row>
    <row r="145" spans="1:4" ht="15" thickBot="1" x14ac:dyDescent="0.35">
      <c r="A145" s="50"/>
      <c r="B145" s="50"/>
      <c r="C145" s="50"/>
      <c r="D145" s="50"/>
    </row>
    <row r="146" spans="1:4" ht="18.75" thickBot="1" x14ac:dyDescent="0.3">
      <c r="A146" s="43" t="s">
        <v>14</v>
      </c>
      <c r="B146" s="44">
        <v>13</v>
      </c>
      <c r="C146" s="45" t="s">
        <v>23</v>
      </c>
      <c r="D146" s="54">
        <f>$D$131+7</f>
        <v>44533</v>
      </c>
    </row>
    <row r="147" spans="1:4" ht="27.75" thickBot="1" x14ac:dyDescent="0.3">
      <c r="A147" s="46" t="s">
        <v>3</v>
      </c>
      <c r="B147" s="47" t="s">
        <v>15</v>
      </c>
      <c r="C147" s="46" t="s">
        <v>7</v>
      </c>
      <c r="D147" s="46" t="s">
        <v>13</v>
      </c>
    </row>
    <row r="148" spans="1:4" x14ac:dyDescent="0.25">
      <c r="A148" s="5"/>
      <c r="B148" s="4"/>
      <c r="C148" s="9"/>
      <c r="D148" s="9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2"/>
      <c r="B159" s="2"/>
      <c r="C159" s="10"/>
      <c r="D159" s="10"/>
    </row>
    <row r="160" spans="1:4" x14ac:dyDescent="0.25">
      <c r="A160" s="51"/>
      <c r="B160" s="51"/>
      <c r="C160" s="52"/>
      <c r="D160" s="52"/>
    </row>
    <row r="161" spans="1:4" x14ac:dyDescent="0.25">
      <c r="A161" s="51"/>
      <c r="B161" s="51"/>
      <c r="C161" s="52"/>
      <c r="D161" s="52"/>
    </row>
    <row r="162" spans="1:4" ht="14.25" thickBot="1" x14ac:dyDescent="0.3">
      <c r="A162" s="3"/>
      <c r="B162" s="3"/>
      <c r="C162" s="11"/>
      <c r="D162" s="11"/>
    </row>
    <row r="163" spans="1:4" ht="14.25" thickBot="1" x14ac:dyDescent="0.3">
      <c r="A163" s="48" t="s">
        <v>22</v>
      </c>
      <c r="B163" s="48">
        <f>SUM(B148:B162)</f>
        <v>0</v>
      </c>
      <c r="C163" s="112" t="s">
        <v>50</v>
      </c>
      <c r="D163" s="49"/>
    </row>
    <row r="164" spans="1:4" ht="15" thickBot="1" x14ac:dyDescent="0.35">
      <c r="A164" s="50"/>
      <c r="B164" s="50"/>
      <c r="C164" s="50"/>
      <c r="D164" s="50"/>
    </row>
    <row r="165" spans="1:4" ht="18.75" thickBot="1" x14ac:dyDescent="0.3">
      <c r="A165" s="43" t="s">
        <v>14</v>
      </c>
      <c r="B165" s="44">
        <v>14</v>
      </c>
      <c r="C165" s="45" t="s">
        <v>23</v>
      </c>
      <c r="D165" s="54">
        <f>$D$146+7</f>
        <v>44540</v>
      </c>
    </row>
    <row r="166" spans="1:4" ht="27.75" thickBot="1" x14ac:dyDescent="0.3">
      <c r="A166" s="46" t="s">
        <v>3</v>
      </c>
      <c r="B166" s="47" t="s">
        <v>15</v>
      </c>
      <c r="C166" s="46" t="s">
        <v>7</v>
      </c>
      <c r="D166" s="46" t="s">
        <v>13</v>
      </c>
    </row>
    <row r="167" spans="1:4" x14ac:dyDescent="0.25">
      <c r="A167" s="5"/>
      <c r="B167" s="4"/>
      <c r="C167" s="9"/>
      <c r="D167" s="9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51"/>
      <c r="B179" s="51"/>
      <c r="C179" s="52"/>
      <c r="D179" s="52"/>
    </row>
    <row r="180" spans="1:4" x14ac:dyDescent="0.25">
      <c r="A180" s="51"/>
      <c r="B180" s="51"/>
      <c r="C180" s="52"/>
      <c r="D180" s="52"/>
    </row>
    <row r="181" spans="1:4" ht="14.25" thickBot="1" x14ac:dyDescent="0.3">
      <c r="A181" s="3"/>
      <c r="B181" s="3"/>
      <c r="C181" s="11"/>
      <c r="D181" s="11"/>
    </row>
    <row r="182" spans="1:4" ht="14.25" thickBot="1" x14ac:dyDescent="0.3">
      <c r="A182" s="48" t="s">
        <v>22</v>
      </c>
      <c r="B182" s="48">
        <f>SUM(B167:B181)</f>
        <v>0</v>
      </c>
      <c r="C182" s="112" t="s">
        <v>50</v>
      </c>
      <c r="D182" s="49"/>
    </row>
    <row r="183" spans="1:4" ht="15" thickBot="1" x14ac:dyDescent="0.35">
      <c r="A183" s="50"/>
      <c r="B183" s="50"/>
      <c r="C183" s="50"/>
      <c r="D183" s="50"/>
    </row>
    <row r="184" spans="1:4" ht="18.75" thickBot="1" x14ac:dyDescent="0.3">
      <c r="A184" s="43" t="s">
        <v>14</v>
      </c>
      <c r="B184" s="44">
        <v>15</v>
      </c>
      <c r="C184" s="45" t="s">
        <v>23</v>
      </c>
      <c r="D184" s="54">
        <f>$D$165+7</f>
        <v>44547</v>
      </c>
    </row>
    <row r="185" spans="1:4" ht="27.75" thickBot="1" x14ac:dyDescent="0.3">
      <c r="A185" s="46" t="s">
        <v>3</v>
      </c>
      <c r="B185" s="47" t="s">
        <v>15</v>
      </c>
      <c r="C185" s="46" t="s">
        <v>7</v>
      </c>
      <c r="D185" s="46" t="s">
        <v>13</v>
      </c>
    </row>
    <row r="186" spans="1:4" x14ac:dyDescent="0.25">
      <c r="A186" s="5"/>
      <c r="B186" s="4"/>
      <c r="C186" s="9"/>
      <c r="D186" s="9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1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2"/>
      <c r="B197" s="2"/>
      <c r="C197" s="10"/>
      <c r="D197" s="10"/>
    </row>
    <row r="198" spans="1:4" x14ac:dyDescent="0.25">
      <c r="A198" s="51"/>
      <c r="B198" s="51"/>
      <c r="C198" s="52"/>
      <c r="D198" s="52"/>
    </row>
    <row r="199" spans="1:4" x14ac:dyDescent="0.25">
      <c r="A199" s="51"/>
      <c r="B199" s="51"/>
      <c r="C199" s="52"/>
      <c r="D199" s="52"/>
    </row>
    <row r="200" spans="1:4" ht="14.25" thickBot="1" x14ac:dyDescent="0.3">
      <c r="A200" s="3"/>
      <c r="B200" s="3"/>
      <c r="C200" s="11"/>
      <c r="D200" s="11"/>
    </row>
    <row r="201" spans="1:4" ht="14.25" thickBot="1" x14ac:dyDescent="0.3">
      <c r="A201" s="48" t="s">
        <v>22</v>
      </c>
      <c r="B201" s="48">
        <f>SUM(B186:B200)</f>
        <v>0</v>
      </c>
      <c r="C201" s="112" t="s">
        <v>50</v>
      </c>
      <c r="D201" s="49"/>
    </row>
    <row r="202" spans="1:4" ht="15" thickBot="1" x14ac:dyDescent="0.35">
      <c r="A202" s="50"/>
      <c r="B202" s="50"/>
      <c r="C202" s="50"/>
      <c r="D202" s="50"/>
    </row>
    <row r="203" spans="1:4" ht="18.75" thickBot="1" x14ac:dyDescent="0.3">
      <c r="A203" s="43" t="s">
        <v>14</v>
      </c>
      <c r="B203" s="44">
        <v>16</v>
      </c>
      <c r="C203" s="45" t="s">
        <v>23</v>
      </c>
      <c r="D203" s="54">
        <f>$D$184+7</f>
        <v>44554</v>
      </c>
    </row>
    <row r="204" spans="1:4" ht="27.75" thickBot="1" x14ac:dyDescent="0.3">
      <c r="A204" s="46" t="s">
        <v>3</v>
      </c>
      <c r="B204" s="47" t="s">
        <v>15</v>
      </c>
      <c r="C204" s="46" t="s">
        <v>7</v>
      </c>
      <c r="D204" s="46" t="s">
        <v>13</v>
      </c>
    </row>
    <row r="205" spans="1:4" x14ac:dyDescent="0.25">
      <c r="A205" s="5"/>
      <c r="B205" s="4"/>
      <c r="C205" s="9"/>
      <c r="D205" s="9"/>
    </row>
    <row r="206" spans="1:4" x14ac:dyDescent="0.25">
      <c r="A206" s="1"/>
      <c r="B206" s="2"/>
      <c r="C206" s="10"/>
      <c r="D206" s="10"/>
    </row>
    <row r="207" spans="1:4" x14ac:dyDescent="0.25">
      <c r="A207" s="1"/>
      <c r="B207" s="2"/>
      <c r="C207" s="10"/>
      <c r="D207" s="10"/>
    </row>
    <row r="208" spans="1:4" x14ac:dyDescent="0.25">
      <c r="A208" s="1"/>
      <c r="B208" s="2"/>
      <c r="C208" s="10"/>
      <c r="D208" s="10"/>
    </row>
    <row r="209" spans="1:4" x14ac:dyDescent="0.25">
      <c r="A209" s="1"/>
      <c r="B209" s="2"/>
      <c r="C209" s="10"/>
      <c r="D209" s="10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2"/>
      <c r="B214" s="2"/>
      <c r="C214" s="10"/>
      <c r="D214" s="10"/>
    </row>
    <row r="215" spans="1:4" x14ac:dyDescent="0.25">
      <c r="A215" s="2"/>
      <c r="B215" s="2"/>
      <c r="C215" s="10"/>
      <c r="D215" s="10"/>
    </row>
    <row r="216" spans="1:4" x14ac:dyDescent="0.25">
      <c r="A216" s="2"/>
      <c r="B216" s="2"/>
      <c r="C216" s="10"/>
      <c r="D216" s="10"/>
    </row>
    <row r="217" spans="1:4" x14ac:dyDescent="0.25">
      <c r="A217" s="51"/>
      <c r="B217" s="51"/>
      <c r="C217" s="52"/>
      <c r="D217" s="52"/>
    </row>
    <row r="218" spans="1:4" x14ac:dyDescent="0.25">
      <c r="A218" s="51"/>
      <c r="B218" s="51"/>
      <c r="C218" s="52"/>
      <c r="D218" s="52"/>
    </row>
    <row r="219" spans="1:4" ht="14.25" thickBot="1" x14ac:dyDescent="0.3">
      <c r="A219" s="3"/>
      <c r="B219" s="3"/>
      <c r="C219" s="11"/>
      <c r="D219" s="11"/>
    </row>
    <row r="220" spans="1:4" ht="14.25" thickBot="1" x14ac:dyDescent="0.3">
      <c r="A220" s="48" t="s">
        <v>22</v>
      </c>
      <c r="B220" s="48">
        <f>SUM(B205:B219)</f>
        <v>0</v>
      </c>
      <c r="C220" s="112" t="s">
        <v>50</v>
      </c>
      <c r="D220" s="49"/>
    </row>
    <row r="221" spans="1:4" ht="14.25" x14ac:dyDescent="0.3">
      <c r="A221" s="50"/>
      <c r="B221" s="50"/>
      <c r="C221" s="50"/>
      <c r="D221" s="50"/>
    </row>
    <row r="222" spans="1:4" x14ac:dyDescent="0.25">
      <c r="A222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205:B219 B65:B71 B76:B83 B88:B94 B99:B105 B110:B117 B122:B128 B148:B162 B167:B181 B186:B200 B133:B14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29 B144 B163 B182 B201 B220">
      <formula1>0</formula1>
      <formula2>NbPerWeek * NbQuartPer</formula2>
    </dataValidation>
    <dataValidation type="list" allowBlank="1" showInputMessage="1" showErrorMessage="1" sqref="A3:A9 A14:A21 A26:A34 A39:A47 A52:A60 A65:A71 A205:A219 A76:A83 A88:A94 A99:A105 A110:A117 A122:A128 A148:A162 A167:A181 A186:A200 A133:A14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2021-11-26T10:20:38Z</dcterms:modified>
</cp:coreProperties>
</file>